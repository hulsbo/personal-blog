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E044A60A-6A74-A549-B396-473C695E3C3D}"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<sst xmlns="http://schemas.openxmlformats.org/spreadsheetml/2006/main" count="569" uniqueCount="38">
  <si>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</si>
  <si>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</si>
  <si>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</si>
  <si>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</si>
  <si>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</si>
  <si>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</si>
  <si>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</si>
  <si>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</si>
  <si>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</si>
  <si>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</si>
  <si>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</si>
  <si>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</si>
  <si>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</si>
  <si>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</si>
  <si>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</si>
  <si>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</si>
  <si>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</si>
  <si>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</si>
  <si>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</si>
  <si>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</si>
  <si>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</si>
  <si>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</si>
  <si>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</si>
  <si>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</si>
  <si>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</si>
  <si>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</si>
  <si>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</si>
  <si>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</si>
  <si>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</si>
  <si>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</si>
  <si>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</si>
  <si>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</si>
  <si>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</si>
  <si>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</si>
  <si>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Cattegat cruise day 2: Not as long as yesterday (110 km), and more effective, leading to an arrival well before sunset. Biggest worry was the climb of hallandsåsen ( 200 m AMSL) but it turned out to be one of the easiest legs thanks to my fathers recommendation of doing it via Båstads banvall. The climb was actually barely noticeable. After getting to Ängelholm I was familiar with the route all the way to Höganäs,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</si>
  <si>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Göteborg,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Höganäs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Should have started earlier, but at least now I know the time required for doing this type of thing.</t>
  </si>
  <si>
    <t>Last day of this little bike workout vacation I decided to do a round trip to Mölle (28 km). Except from a little of the same soreness I had felt in right knee the day before I felt quite strong. Would have been a bit faster still if it was less gravel roads on the way towards Mölle.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</si>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</sst>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D1" workbookViewId="0">
      <selection activeCell="K6" sqref="K6"/>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1" t="str">
        <f>_xlfn.CONCAT("Week: 1/12 | Phase: 1/2 | Total distance: ", SUM(G3:G9), " km")</f>
        <v>Week: 1/12 | Phase: 1/2 | Total distance: 100 km</v>
      </c>
      <c r="D1" s="11"/>
      <c r="E1" s="11"/>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0" t="s">
        <v>23</v>
      </c>
      <c r="J3" s="5" t="s">
        <v>24</v>
      </c>
    </row>
    <row r="4" spans="1:11" ht="18" x14ac:dyDescent="0.2">
      <c r="B4" t="s">
        <v>30</v>
      </c>
      <c r="C4" s="7" t="str">
        <f t="shared" ref="C4:C9" si="0">UPPER(TEXT(D4, "dddd"))</f>
        <v>TUESDAY</v>
      </c>
      <c r="D4" s="9">
        <v>45517</v>
      </c>
      <c r="E4" t="s">
        <v>2</v>
      </c>
      <c r="F4">
        <v>60</v>
      </c>
      <c r="G4">
        <v>13</v>
      </c>
      <c r="H4" s="5">
        <v>130</v>
      </c>
      <c r="I4" s="10" t="s">
        <v>25</v>
      </c>
      <c r="J4" s="5" t="s">
        <v>29</v>
      </c>
    </row>
    <row r="5" spans="1:11" ht="18" x14ac:dyDescent="0.2">
      <c r="B5" t="s">
        <v>30</v>
      </c>
      <c r="C5" s="7" t="str">
        <f t="shared" si="0"/>
        <v>WEDNESDAY</v>
      </c>
      <c r="D5" s="9">
        <v>45518</v>
      </c>
      <c r="E5" t="s">
        <v>3</v>
      </c>
      <c r="F5">
        <v>60</v>
      </c>
      <c r="G5">
        <v>13</v>
      </c>
      <c r="H5" s="5">
        <v>135</v>
      </c>
      <c r="I5" s="5" t="s">
        <v>26</v>
      </c>
      <c r="J5" s="5" t="s">
        <v>31</v>
      </c>
    </row>
    <row r="6" spans="1:11" ht="18" x14ac:dyDescent="0.2">
      <c r="B6" t="s">
        <v>18</v>
      </c>
      <c r="C6" s="7" t="str">
        <f t="shared" si="0"/>
        <v>THURSDAY</v>
      </c>
      <c r="D6" s="9">
        <v>45519</v>
      </c>
      <c r="E6" t="s">
        <v>2</v>
      </c>
      <c r="F6">
        <v>60</v>
      </c>
      <c r="G6">
        <v>13</v>
      </c>
      <c r="H6" s="5">
        <v>135</v>
      </c>
      <c r="I6" s="5" t="s">
        <v>27</v>
      </c>
      <c r="J6" s="5" t="s">
        <v>28</v>
      </c>
    </row>
    <row r="7" spans="1:11" ht="18" x14ac:dyDescent="0.2">
      <c r="B7" t="s">
        <v>17</v>
      </c>
      <c r="C7" s="7" t="str">
        <f t="shared" si="0"/>
        <v>FRIDAY</v>
      </c>
      <c r="D7" s="9">
        <v>45520</v>
      </c>
      <c r="E7" t="s">
        <v>2</v>
      </c>
      <c r="F7">
        <v>60</v>
      </c>
      <c r="G7">
        <v>13</v>
      </c>
      <c r="H7" s="12" t="s">
        <v>37</v>
      </c>
      <c r="I7" s="5" t="s">
        <v>27</v>
      </c>
      <c r="J7" s="5" t="s">
        <v>35</v>
      </c>
    </row>
    <row r="8" spans="1:11" ht="18" x14ac:dyDescent="0.2">
      <c r="B8" t="s">
        <v>17</v>
      </c>
      <c r="C8" s="7" t="str">
        <f t="shared" si="0"/>
        <v>SATURDAY</v>
      </c>
      <c r="D8" s="9">
        <v>45521</v>
      </c>
      <c r="E8" t="s">
        <v>4</v>
      </c>
      <c r="F8">
        <v>60</v>
      </c>
      <c r="G8">
        <v>21</v>
      </c>
      <c r="H8" s="12" t="s">
        <v>37</v>
      </c>
      <c r="I8" s="5" t="s">
        <v>32</v>
      </c>
      <c r="J8" s="5" t="s">
        <v>34</v>
      </c>
    </row>
    <row r="9" spans="1:11" ht="18" x14ac:dyDescent="0.2">
      <c r="B9" t="s">
        <v>17</v>
      </c>
      <c r="C9" s="7" t="str">
        <f t="shared" si="0"/>
        <v>SUNDAY</v>
      </c>
      <c r="D9" s="9">
        <v>45522</v>
      </c>
      <c r="E9" t="s">
        <v>21</v>
      </c>
      <c r="F9">
        <v>120</v>
      </c>
      <c r="G9">
        <v>15</v>
      </c>
      <c r="H9" s="12" t="s">
        <v>37</v>
      </c>
      <c r="I9" s="5" t="s">
        <v>33</v>
      </c>
      <c r="J9" s="5" t="s">
        <v>36</v>
      </c>
    </row>
    <row r="10" spans="1:11" ht="18" x14ac:dyDescent="0.2">
      <c r="A10" t="s">
        <v>9</v>
      </c>
      <c r="B10" t="s">
        <v>8</v>
      </c>
      <c r="C10" s="11" t="str">
        <f>_xlfn.CONCAT("Week: 2/12 | Phase: 1/2 | Total distance: ", SUM(G12:G18), " km")</f>
        <v>Week: 2/12 | Phase: 1/2 | Total distance: 101 km</v>
      </c>
      <c r="D10" s="11"/>
      <c r="E10" s="11"/>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1" t="str">
        <f>_xlfn.CONCAT("Week: 3/12 | Phase: 1/2 | Total distance: ", SUM(G21:G27), " km")</f>
        <v>Week: 3/12 | Phase: 1/2 | Total distance: 101 km</v>
      </c>
      <c r="D19" s="11"/>
      <c r="E19" s="11"/>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1" t="str">
        <f>_xlfn.CONCAT("Week: 4/12 | Phase: 1/2 | Total distance: ", SUM(G30:G36), " km")</f>
        <v>Week: 4/12 | Phase: 1/2 | Total distance: 101 km</v>
      </c>
      <c r="D28" s="11"/>
      <c r="E28" s="11"/>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1" t="str">
        <f>_xlfn.CONCAT("Week: 5/12 | Phase: 1/2 | Total distance: ", SUM(G39:G45), " km")</f>
        <v>Week: 5/12 | Phase: 1/2 | Total distance: 101 km</v>
      </c>
      <c r="D37" s="11"/>
      <c r="E37" s="11"/>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1" t="str">
        <f>_xlfn.CONCAT("Week: 6/12 | Phase: 1/2 | Total distance: ", SUM(G48:G54), " km")</f>
        <v>Week: 6/12 | Phase: 1/2 | Total distance: 101 km</v>
      </c>
      <c r="D46" s="11"/>
      <c r="E46" s="11"/>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1" t="str">
        <f>_xlfn.CONCAT("Week: 7/12 | Phase: 1/2 | Total distance: ", SUM(G57:G63), " km")</f>
        <v>Week: 7/12 | Phase: 1/2 | Total distance: 114 km</v>
      </c>
      <c r="D55" s="11"/>
      <c r="E55" s="11"/>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1" t="str">
        <f>_xlfn.CONCAT("Week: 8/12 | Phase: 2/2 | Total distance: ", SUM(G66:G72), " km")</f>
        <v>Week: 8/12 | Phase: 2/2 | Total distance: 114 km</v>
      </c>
      <c r="D64" s="11"/>
      <c r="E64" s="11"/>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1" t="str">
        <f>_xlfn.CONCAT("Week: 9/12 | Phase: 2/2 | Total distance: ", SUM(G75:G81), " km")</f>
        <v>Week: 9/12 | Phase: 2/2 | Total distance: 114 km</v>
      </c>
      <c r="D73" s="11"/>
      <c r="E73" s="11"/>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1" t="str">
        <f>_xlfn.CONCAT("Week: 10/12 | Phase: 2/2 | Total distance: ", SUM(G84:G90), " km")</f>
        <v>Week: 10/12 | Phase: 2/2 | Total distance: 114 km</v>
      </c>
      <c r="D82" s="11"/>
      <c r="E82" s="11"/>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1" t="str">
        <f>_xlfn.CONCAT("Week: 11/12 | Phase: 2/2 | Total distance: ", SUM(G93:G99), " km")</f>
        <v>Week: 11/12 | Phase: 2/2 | Total distance: 114 km</v>
      </c>
      <c r="D91" s="11"/>
      <c r="E91" s="11"/>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1" t="str">
        <f>_xlfn.CONCAT("Week: 12/12 | Phase: 2/2 | Total distance: ", SUM(G102:G108), " km")</f>
        <v>Week: 12/12 | Phase: 2/2 | Total distance: 114 km</v>
      </c>
      <c r="D100" s="11"/>
      <c r="E100" s="11"/>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30</v>
      </c>
    </row>
    <row r="124" spans="1:1" x14ac:dyDescent="0.2">
      <c r="A124" t="s">
        <v>19</v>
      </c>
    </row>
    <row r="125" spans="1:1" x14ac:dyDescent="0.2">
      <c r="A125" t="s">
        <v>8</v>
      </c>
    </row>
    <row r="126" spans="1:1" x14ac:dyDescent="0.2">
      <c r="A126" t="s">
        <v>6</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2024-08-18T21:02:58Z</dcterms:modified>
</cp:coreProperties>
</file>