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9_{84BC6714-8619-724B-ADF1-C5CD443A53DC}" xr6:coauthVersionLast="47" xr6:coauthVersionMax="47" xr10:uidLastSave="{00000000-0000-0000-0000-000000000000}"/>
  <bookViews>
    <workbookView xWindow="0" yWindow="740" windowWidth="2856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<sst xmlns="http://schemas.openxmlformats.org/spreadsheetml/2006/main" count="571" uniqueCount="25">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</sst>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4" fontId="1" fillId="0" borderId="0" xfId="0" applyNumberFormat="1" applyFont="1" applyAlignment="1">
      <alignment horizontal="center" vertical="center"/>
    </xf>
    <xf numFmtId="16" fontId="4" fillId="0" borderId="0" xfId="0" applyNumberFormat="1"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5"/>
  <sheetViews>
    <sheetView tabSelected="1" workbookViewId="0">
      <selection activeCell="E3" sqref="E3"/>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0" t="str">
        <f>_xlfn.CONCAT("Week: 1/12 | Phase: 1/2 | Total distance: ", SUM(G3:G9), " km")</f>
        <v>Week: 1/12 | Phase: 1/2 | Total distance: 100 km</v>
      </c>
      <c r="D1" s="10"/>
      <c r="E1" s="10"/>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1" t="s">
        <v>23</v>
      </c>
      <c r="J3" s="5" t="s">
        <v>24</v>
      </c>
    </row>
    <row r="4" spans="1:11" ht="18" x14ac:dyDescent="0.2">
      <c r="B4" t="s">
        <v>17</v>
      </c>
      <c r="C4" s="7" t="str">
        <f t="shared" ref="C4:C9" si="0">UPPER(TEXT(D4, "dddd"))</f>
        <v>TUESDAY</v>
      </c>
      <c r="D4" s="9">
        <v>45517</v>
      </c>
      <c r="E4" t="s">
        <v>2</v>
      </c>
      <c r="F4">
        <v>60</v>
      </c>
      <c r="G4">
        <v>13</v>
      </c>
      <c r="H4" s="5" t="s">
        <v>15</v>
      </c>
      <c r="I4" s="5" t="s">
        <v>15</v>
      </c>
      <c r="J4" s="5" t="s">
        <v>15</v>
      </c>
    </row>
    <row r="5" spans="1:11" ht="18" x14ac:dyDescent="0.2">
      <c r="B5" t="s">
        <v>17</v>
      </c>
      <c r="C5" s="7" t="str">
        <f t="shared" si="0"/>
        <v>WEDNESDAY</v>
      </c>
      <c r="D5" s="9">
        <v>45518</v>
      </c>
      <c r="E5" t="s">
        <v>3</v>
      </c>
      <c r="F5">
        <v>60</v>
      </c>
      <c r="G5">
        <v>13</v>
      </c>
      <c r="H5" s="5" t="s">
        <v>15</v>
      </c>
      <c r="I5" s="5" t="s">
        <v>15</v>
      </c>
      <c r="J5" s="5" t="s">
        <v>15</v>
      </c>
    </row>
    <row r="6" spans="1:11" ht="18" x14ac:dyDescent="0.2">
      <c r="B6" t="s">
        <v>17</v>
      </c>
      <c r="C6" s="7" t="str">
        <f t="shared" si="0"/>
        <v>THURSDAY</v>
      </c>
      <c r="D6" s="9">
        <v>45519</v>
      </c>
      <c r="E6" t="s">
        <v>2</v>
      </c>
      <c r="F6">
        <v>60</v>
      </c>
      <c r="G6">
        <v>13</v>
      </c>
      <c r="H6" s="5" t="s">
        <v>15</v>
      </c>
      <c r="I6" s="5" t="s">
        <v>15</v>
      </c>
      <c r="J6" s="5" t="s">
        <v>15</v>
      </c>
    </row>
    <row r="7" spans="1:11" ht="18" x14ac:dyDescent="0.2">
      <c r="B7" t="s">
        <v>17</v>
      </c>
      <c r="C7" s="7" t="str">
        <f t="shared" si="0"/>
        <v>FRIDAY</v>
      </c>
      <c r="D7" s="9">
        <v>45520</v>
      </c>
      <c r="E7" t="s">
        <v>2</v>
      </c>
      <c r="F7">
        <v>60</v>
      </c>
      <c r="G7">
        <v>13</v>
      </c>
      <c r="H7" s="5" t="s">
        <v>15</v>
      </c>
      <c r="I7" s="5" t="s">
        <v>15</v>
      </c>
      <c r="J7" s="5" t="s">
        <v>15</v>
      </c>
    </row>
    <row r="8" spans="1:11" ht="18" x14ac:dyDescent="0.2">
      <c r="B8" t="s">
        <v>17</v>
      </c>
      <c r="C8" s="7" t="str">
        <f t="shared" si="0"/>
        <v>SATURDAY</v>
      </c>
      <c r="D8" s="9">
        <v>45521</v>
      </c>
      <c r="E8" t="s">
        <v>4</v>
      </c>
      <c r="F8">
        <v>60</v>
      </c>
      <c r="G8">
        <v>21</v>
      </c>
      <c r="H8" s="5" t="s">
        <v>15</v>
      </c>
      <c r="I8" s="5" t="s">
        <v>15</v>
      </c>
      <c r="J8" s="5" t="s">
        <v>15</v>
      </c>
    </row>
    <row r="9" spans="1:11" ht="18" x14ac:dyDescent="0.2">
      <c r="B9" t="s">
        <v>17</v>
      </c>
      <c r="C9" s="7" t="str">
        <f t="shared" si="0"/>
        <v>SUNDAY</v>
      </c>
      <c r="D9" s="9">
        <v>45522</v>
      </c>
      <c r="E9" t="s">
        <v>21</v>
      </c>
      <c r="F9">
        <v>120</v>
      </c>
      <c r="G9">
        <v>15</v>
      </c>
      <c r="H9" s="5" t="s">
        <v>15</v>
      </c>
      <c r="I9" s="5" t="s">
        <v>15</v>
      </c>
      <c r="J9" s="5" t="s">
        <v>15</v>
      </c>
    </row>
    <row r="10" spans="1:11" ht="18" x14ac:dyDescent="0.2">
      <c r="A10" t="s">
        <v>9</v>
      </c>
      <c r="B10" t="s">
        <v>8</v>
      </c>
      <c r="C10" s="10" t="str">
        <f>_xlfn.CONCAT("Week: 2/12 | Phase: 1/2 | Total distance: ", SUM(G12:G18), " km")</f>
        <v>Week: 2/12 | Phase: 1/2 | Total distance: 101 km</v>
      </c>
      <c r="D10" s="10"/>
      <c r="E10" s="10"/>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0" t="str">
        <f>_xlfn.CONCAT("Week: 3/12 | Phase: 1/2 | Total distance: ", SUM(G21:G27), " km")</f>
        <v>Week: 3/12 | Phase: 1/2 | Total distance: 101 km</v>
      </c>
      <c r="D19" s="10"/>
      <c r="E19" s="10"/>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0" t="str">
        <f>_xlfn.CONCAT("Week: 4/12 | Phase: 1/2 | Total distance: ", SUM(G30:G36), " km")</f>
        <v>Week: 4/12 | Phase: 1/2 | Total distance: 101 km</v>
      </c>
      <c r="D28" s="10"/>
      <c r="E28" s="10"/>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0" t="str">
        <f>_xlfn.CONCAT("Week: 5/12 | Phase: 1/2 | Total distance: ", SUM(G39:G45), " km")</f>
        <v>Week: 5/12 | Phase: 1/2 | Total distance: 101 km</v>
      </c>
      <c r="D37" s="10"/>
      <c r="E37" s="10"/>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0" t="str">
        <f>_xlfn.CONCAT("Week: 6/12 | Phase: 1/2 | Total distance: ", SUM(G48:G54), " km")</f>
        <v>Week: 6/12 | Phase: 1/2 | Total distance: 101 km</v>
      </c>
      <c r="D46" s="10"/>
      <c r="E46" s="10"/>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0" t="str">
        <f>_xlfn.CONCAT("Week: 7/12 | Phase: 1/2 | Total distance: ", SUM(G57:G63), " km")</f>
        <v>Week: 7/12 | Phase: 1/2 | Total distance: 114 km</v>
      </c>
      <c r="D55" s="10"/>
      <c r="E55" s="10"/>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0" t="str">
        <f>_xlfn.CONCAT("Week: 8/12 | Phase: 2/2 | Total distance: ", SUM(G66:G72), " km")</f>
        <v>Week: 8/12 | Phase: 2/2 | Total distance: 114 km</v>
      </c>
      <c r="D64" s="10"/>
      <c r="E64" s="10"/>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0" t="str">
        <f>_xlfn.CONCAT("Week: 9/12 | Phase: 2/2 | Total distance: ", SUM(G75:G81), " km")</f>
        <v>Week: 9/12 | Phase: 2/2 | Total distance: 114 km</v>
      </c>
      <c r="D73" s="10"/>
      <c r="E73" s="10"/>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0" t="str">
        <f>_xlfn.CONCAT("Week: 10/12 | Phase: 2/2 | Total distance: ", SUM(G84:G90), " km")</f>
        <v>Week: 10/12 | Phase: 2/2 | Total distance: 114 km</v>
      </c>
      <c r="D82" s="10"/>
      <c r="E82" s="10"/>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0" t="str">
        <f>_xlfn.CONCAT("Week: 11/12 | Phase: 2/2 | Total distance: ", SUM(G93:G99), " km")</f>
        <v>Week: 11/12 | Phase: 2/2 | Total distance: 114 km</v>
      </c>
      <c r="D91" s="10"/>
      <c r="E91" s="10"/>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0" t="str">
        <f>_xlfn.CONCAT("Week: 12/12 | Phase: 2/2 | Total distance: ", SUM(G102:G108), " km")</f>
        <v>Week: 12/12 | Phase: 2/2 | Total distance: 114 km</v>
      </c>
      <c r="D100" s="10"/>
      <c r="E100" s="10"/>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19</v>
      </c>
    </row>
    <row r="124" spans="1:1" x14ac:dyDescent="0.2">
      <c r="A124" t="s">
        <v>8</v>
      </c>
    </row>
    <row r="125" spans="1:1" x14ac:dyDescent="0.2">
      <c r="A125" t="s">
        <v>6</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2024-08-12T21:26:56Z</dcterms:modified>
</cp:coreProperties>
</file>