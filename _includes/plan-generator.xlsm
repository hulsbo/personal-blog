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B9C4CDA6-E7B1-EC48-8F22-3CAC164E03F7}"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<sst xmlns="http://schemas.openxmlformats.org/spreadsheetml/2006/main" count="569" uniqueCount="40">
  <si>
    <t>Date</t>
  </si>
  <si>
    <t>Distance</t>
  </si>
  <si>
    <t>Threshold, interval</t>
  </si>
  <si>
    <t>Threshold, failure</t>
  </si>
  <si>
    <t>Time</t>
  </si>
  <si>
    <t>headerStyle</t>
  </si>
  <si>
    <t>END</t>
  </si>
  <si>
    <t>detailsStyle</t>
  </si>
  <si>
    <t>DETAILS</t>
  </si>
  <si>
    <t>HEADERS</t>
  </si>
  <si>
    <t>Remark</t>
  </si>
  <si>
    <t>Average HR</t>
  </si>
  <si>
    <t>Type</t>
  </si>
  <si>
    <t>Weekday</t>
  </si>
  <si>
    <t>TBD</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</si>
  <si>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</si>
  <si>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</si>
  <si>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</si>
  <si>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</si>
  <si>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</si>
  <si>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</si>
  <si>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</si>
  <si>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</si>
  <si>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</si>
  <si>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</si>
  <si>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</si>
  <si>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</si>
  <si>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</si>
  <si>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</si>
  <si>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</si>
  <si>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</si>
  <si>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</si>
  <si>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na</t>
  </si>
  <si>
    <t>Last day of this little bike workout vacation I decided to do a round trip to Molle (28 km). Except from a little of the same soreness I had felt in right knee the day before I felt quite strong. Would have been a bit faster still if it was less gravel roads on the way towards Molle.</t>
  </si>
  <si>
    <t>Typ av traningspass</t>
  </si>
  <si>
    <t>attributvarde class</t>
  </si>
  <si>
    <t>Cattegat cruise day 2: Not as long as yesterday (110 km), and more effective, leading to an arrival well before sunset. Biggest worry was the climb of hallandsasen ( 200 m AMSL) but it turned out to be one of the easiest legs thanks to my fathers recommendation of doing it via Bastads banvall. The climb was actually barely noticeable. After getting to angelholm I was familiar with the route all the way to Hoganas, so I steamed ahead without taking a break. Felt a little sore in right knee, thought it was just because of the 270 km distance concentrated in two days. That type of distance would be demanding on the knees even if they're bicycled.</t>
  </si>
  <si>
    <t>Cattegat cruise day 1: Since long time, and especially since the start of my residence in Goteborg,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Hoganas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In total 167 km. Should have started earlier, but at least now I know the time required for doing this type of thing.</t>
  </si>
  <si>
    <t xml:space="preserve">No pain felt at all, and felt my "aerobic base" really had improved since last time I run. The 300 km of biking in between clearly made an effect. Also good lesson in "slow running" and that volume is better than intensity to get faster. Bicycling many hours consecutively is a great way of accomplishing that, probably better than long runs actually, since one can train for longer without risk of injury. Conclusion is to incorporate more and longer cycling sessions in the plan. </t>
  </si>
  <si>
    <t>With only an hour margin to catch the train in Angelholm I tried to push beyond an average of 30 km/h almost making it at 29.6 km/h. Total time about 53 min for a distance of 26 km. Thought I actually would considering the wind was in my back and I had my new shoes. Nevertheless, finished with feeling strong and content with my progress as a biker from recent days of ambitious training.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</si>
</sst>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workbookViewId="0">
      <selection activeCell="J12" sqref="J12"/>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8</v>
      </c>
      <c r="B1" t="s">
        <v>7</v>
      </c>
      <c r="C1" s="11" t="str">
        <f>_xlfn.CONCAT("Week: 1/12 | Phase: 1/2 | Total distance: ", SUM(G3:G9), " km")</f>
        <v>Week: 1/12 | Phase: 1/2 | Total distance: 100 km</v>
      </c>
      <c r="D1" s="11"/>
      <c r="E1" s="11"/>
      <c r="H1" s="4"/>
      <c r="K1" s="2"/>
    </row>
    <row r="2" spans="1:11" x14ac:dyDescent="0.2">
      <c r="A2" t="s">
        <v>9</v>
      </c>
      <c r="B2" t="s">
        <v>5</v>
      </c>
      <c r="C2" s="6" t="s">
        <v>13</v>
      </c>
      <c r="D2" s="8" t="s">
        <v>0</v>
      </c>
      <c r="E2" s="1" t="s">
        <v>12</v>
      </c>
      <c r="F2" s="2" t="s">
        <v>4</v>
      </c>
      <c r="G2" s="2" t="s">
        <v>1</v>
      </c>
      <c r="H2" s="2" t="s">
        <v>11</v>
      </c>
      <c r="I2" s="2" t="s">
        <v>20</v>
      </c>
      <c r="J2" s="2" t="s">
        <v>10</v>
      </c>
    </row>
    <row r="3" spans="1:11" ht="18" x14ac:dyDescent="0.2">
      <c r="B3" t="s">
        <v>16</v>
      </c>
      <c r="C3" s="7" t="str">
        <f>UPPER(TEXT(D3, "dddd"))</f>
        <v>MONDAY</v>
      </c>
      <c r="D3" s="9">
        <v>45516</v>
      </c>
      <c r="E3" t="s">
        <v>1</v>
      </c>
      <c r="F3">
        <v>75</v>
      </c>
      <c r="G3">
        <v>12</v>
      </c>
      <c r="H3" s="5">
        <v>125</v>
      </c>
      <c r="I3" s="10" t="s">
        <v>21</v>
      </c>
      <c r="J3" s="5" t="s">
        <v>22</v>
      </c>
    </row>
    <row r="4" spans="1:11" ht="18" x14ac:dyDescent="0.2">
      <c r="B4" t="s">
        <v>28</v>
      </c>
      <c r="C4" s="7" t="str">
        <f t="shared" ref="C4:C9" si="0">UPPER(TEXT(D4, "dddd"))</f>
        <v>TUESDAY</v>
      </c>
      <c r="D4" s="9">
        <v>45517</v>
      </c>
      <c r="E4" t="s">
        <v>1</v>
      </c>
      <c r="F4">
        <v>60</v>
      </c>
      <c r="G4">
        <v>13</v>
      </c>
      <c r="H4" s="5">
        <v>130</v>
      </c>
      <c r="I4" s="10" t="s">
        <v>23</v>
      </c>
      <c r="J4" s="5" t="s">
        <v>27</v>
      </c>
    </row>
    <row r="5" spans="1:11" ht="18" x14ac:dyDescent="0.2">
      <c r="B5" t="s">
        <v>28</v>
      </c>
      <c r="C5" s="7" t="str">
        <f t="shared" si="0"/>
        <v>WEDNESDAY</v>
      </c>
      <c r="D5" s="9">
        <v>45518</v>
      </c>
      <c r="E5" t="s">
        <v>2</v>
      </c>
      <c r="F5">
        <v>60</v>
      </c>
      <c r="G5">
        <v>13</v>
      </c>
      <c r="H5" s="5">
        <v>135</v>
      </c>
      <c r="I5" s="5" t="s">
        <v>24</v>
      </c>
      <c r="J5" s="5" t="s">
        <v>29</v>
      </c>
    </row>
    <row r="6" spans="1:11" ht="18" x14ac:dyDescent="0.2">
      <c r="B6" t="s">
        <v>16</v>
      </c>
      <c r="C6" s="7" t="str">
        <f t="shared" si="0"/>
        <v>THURSDAY</v>
      </c>
      <c r="D6" s="9">
        <v>45519</v>
      </c>
      <c r="E6" t="s">
        <v>1</v>
      </c>
      <c r="F6">
        <v>60</v>
      </c>
      <c r="G6">
        <v>13</v>
      </c>
      <c r="H6" s="5">
        <v>135</v>
      </c>
      <c r="I6" s="5" t="s">
        <v>25</v>
      </c>
      <c r="J6" s="5" t="s">
        <v>26</v>
      </c>
    </row>
    <row r="7" spans="1:11" ht="18" x14ac:dyDescent="0.2">
      <c r="B7" t="s">
        <v>28</v>
      </c>
      <c r="C7" s="7" t="str">
        <f t="shared" si="0"/>
        <v>FRIDAY</v>
      </c>
      <c r="D7" s="9">
        <v>45520</v>
      </c>
      <c r="E7" t="s">
        <v>1</v>
      </c>
      <c r="F7">
        <v>60</v>
      </c>
      <c r="G7">
        <v>13</v>
      </c>
      <c r="H7" s="12" t="s">
        <v>32</v>
      </c>
      <c r="I7" s="5" t="s">
        <v>25</v>
      </c>
      <c r="J7" s="5" t="s">
        <v>37</v>
      </c>
    </row>
    <row r="8" spans="1:11" ht="18" x14ac:dyDescent="0.2">
      <c r="B8" t="s">
        <v>28</v>
      </c>
      <c r="C8" s="7" t="str">
        <f t="shared" si="0"/>
        <v>SATURDAY</v>
      </c>
      <c r="D8" s="9">
        <v>45521</v>
      </c>
      <c r="E8" t="s">
        <v>3</v>
      </c>
      <c r="F8">
        <v>60</v>
      </c>
      <c r="G8">
        <v>21</v>
      </c>
      <c r="H8" s="12" t="s">
        <v>32</v>
      </c>
      <c r="I8" s="5" t="s">
        <v>30</v>
      </c>
      <c r="J8" s="5" t="s">
        <v>36</v>
      </c>
    </row>
    <row r="9" spans="1:11" ht="18" x14ac:dyDescent="0.2">
      <c r="B9" t="s">
        <v>28</v>
      </c>
      <c r="C9" s="7" t="str">
        <f t="shared" si="0"/>
        <v>SUNDAY</v>
      </c>
      <c r="D9" s="9">
        <v>45522</v>
      </c>
      <c r="E9" t="s">
        <v>19</v>
      </c>
      <c r="F9">
        <v>120</v>
      </c>
      <c r="G9">
        <v>15</v>
      </c>
      <c r="H9" s="12" t="s">
        <v>32</v>
      </c>
      <c r="I9" s="5" t="s">
        <v>31</v>
      </c>
      <c r="J9" s="5" t="s">
        <v>33</v>
      </c>
    </row>
    <row r="10" spans="1:11" ht="18" x14ac:dyDescent="0.2">
      <c r="A10" t="s">
        <v>8</v>
      </c>
      <c r="B10" t="s">
        <v>7</v>
      </c>
      <c r="C10" s="11" t="str">
        <f>_xlfn.CONCAT("Week: 2/12 | Phase: 1/2 | Total distance: ", SUM(G12:G18), " km")</f>
        <v>Week: 2/12 | Phase: 1/2 | Total distance: 101 km</v>
      </c>
      <c r="D10" s="11"/>
      <c r="E10" s="11"/>
      <c r="H10" s="5"/>
      <c r="I10" s="5"/>
      <c r="J10" s="5"/>
    </row>
    <row r="11" spans="1:11" x14ac:dyDescent="0.2">
      <c r="A11" t="s">
        <v>9</v>
      </c>
      <c r="B11" t="s">
        <v>5</v>
      </c>
      <c r="C11" s="6" t="s">
        <v>13</v>
      </c>
      <c r="D11" s="8" t="s">
        <v>0</v>
      </c>
      <c r="E11" s="1" t="s">
        <v>12</v>
      </c>
      <c r="F11" s="2" t="s">
        <v>4</v>
      </c>
      <c r="G11" s="2" t="s">
        <v>1</v>
      </c>
      <c r="H11" s="2" t="s">
        <v>11</v>
      </c>
      <c r="I11" s="2" t="s">
        <v>20</v>
      </c>
      <c r="J11" s="2" t="s">
        <v>10</v>
      </c>
    </row>
    <row r="12" spans="1:11" ht="18" x14ac:dyDescent="0.2">
      <c r="B12" t="s">
        <v>28</v>
      </c>
      <c r="C12" s="7" t="str">
        <f>UPPER(TEXT(D12, "dddd"))</f>
        <v>MONDAY</v>
      </c>
      <c r="D12" s="9">
        <v>45523</v>
      </c>
      <c r="E12" t="s">
        <v>1</v>
      </c>
      <c r="F12">
        <v>60</v>
      </c>
      <c r="G12">
        <v>13</v>
      </c>
      <c r="H12" s="5" t="s">
        <v>32</v>
      </c>
      <c r="I12" s="10" t="s">
        <v>31</v>
      </c>
      <c r="J12" s="5" t="s">
        <v>39</v>
      </c>
    </row>
    <row r="13" spans="1:11" ht="18" x14ac:dyDescent="0.2">
      <c r="B13" t="s">
        <v>16</v>
      </c>
      <c r="C13" s="7" t="str">
        <f t="shared" ref="C13:C18" si="1">UPPER(TEXT(D13, "dddd"))</f>
        <v>TUESDAY</v>
      </c>
      <c r="D13" s="9">
        <v>45524</v>
      </c>
      <c r="E13" t="s">
        <v>1</v>
      </c>
      <c r="F13">
        <v>60</v>
      </c>
      <c r="G13">
        <v>13</v>
      </c>
      <c r="H13" s="5" t="s">
        <v>32</v>
      </c>
      <c r="I13" s="5" t="s">
        <v>31</v>
      </c>
      <c r="J13" s="5" t="s">
        <v>38</v>
      </c>
    </row>
    <row r="14" spans="1:11" ht="18" x14ac:dyDescent="0.2">
      <c r="B14" t="s">
        <v>15</v>
      </c>
      <c r="C14" s="7" t="str">
        <f t="shared" si="1"/>
        <v>WEDNESDAY</v>
      </c>
      <c r="D14" s="9">
        <v>45525</v>
      </c>
      <c r="E14" t="s">
        <v>2</v>
      </c>
      <c r="F14">
        <v>60</v>
      </c>
      <c r="G14">
        <v>13</v>
      </c>
      <c r="H14" s="5" t="s">
        <v>14</v>
      </c>
      <c r="I14" s="5" t="s">
        <v>14</v>
      </c>
      <c r="J14" s="5" t="s">
        <v>14</v>
      </c>
    </row>
    <row r="15" spans="1:11" ht="18" x14ac:dyDescent="0.2">
      <c r="B15" t="s">
        <v>15</v>
      </c>
      <c r="C15" s="7" t="str">
        <f t="shared" si="1"/>
        <v>THURSDAY</v>
      </c>
      <c r="D15" s="9">
        <v>45526</v>
      </c>
      <c r="E15" t="s">
        <v>1</v>
      </c>
      <c r="F15">
        <v>60</v>
      </c>
      <c r="G15">
        <v>13</v>
      </c>
      <c r="H15" s="5" t="s">
        <v>14</v>
      </c>
      <c r="I15" s="5" t="s">
        <v>14</v>
      </c>
      <c r="J15" s="5" t="s">
        <v>14</v>
      </c>
    </row>
    <row r="16" spans="1:11" ht="18" x14ac:dyDescent="0.2">
      <c r="B16" t="s">
        <v>15</v>
      </c>
      <c r="C16" s="7" t="str">
        <f t="shared" si="1"/>
        <v>FRIDAY</v>
      </c>
      <c r="D16" s="9">
        <v>45527</v>
      </c>
      <c r="E16" t="s">
        <v>1</v>
      </c>
      <c r="F16">
        <v>60</v>
      </c>
      <c r="G16">
        <v>13</v>
      </c>
      <c r="H16" s="5" t="s">
        <v>14</v>
      </c>
      <c r="I16" s="5" t="s">
        <v>14</v>
      </c>
      <c r="J16" s="5" t="s">
        <v>14</v>
      </c>
    </row>
    <row r="17" spans="1:10" ht="18" x14ac:dyDescent="0.2">
      <c r="B17" t="s">
        <v>15</v>
      </c>
      <c r="C17" s="7" t="str">
        <f t="shared" si="1"/>
        <v>SATURDAY</v>
      </c>
      <c r="D17" s="9">
        <v>45528</v>
      </c>
      <c r="E17" t="s">
        <v>3</v>
      </c>
      <c r="F17">
        <v>60</v>
      </c>
      <c r="G17">
        <v>21</v>
      </c>
      <c r="H17" s="5" t="s">
        <v>14</v>
      </c>
      <c r="I17" s="5" t="s">
        <v>14</v>
      </c>
      <c r="J17" s="5" t="s">
        <v>14</v>
      </c>
    </row>
    <row r="18" spans="1:10" ht="18" x14ac:dyDescent="0.2">
      <c r="B18" t="s">
        <v>15</v>
      </c>
      <c r="C18" s="7" t="str">
        <f t="shared" si="1"/>
        <v>SUNDAY</v>
      </c>
      <c r="D18" s="9">
        <v>45529</v>
      </c>
      <c r="E18" t="s">
        <v>19</v>
      </c>
      <c r="F18">
        <v>120</v>
      </c>
      <c r="G18">
        <v>15</v>
      </c>
      <c r="H18" s="5" t="s">
        <v>14</v>
      </c>
      <c r="I18" s="5" t="s">
        <v>14</v>
      </c>
      <c r="J18" s="5" t="s">
        <v>14</v>
      </c>
    </row>
    <row r="19" spans="1:10" ht="18" x14ac:dyDescent="0.2">
      <c r="A19" t="s">
        <v>8</v>
      </c>
      <c r="B19" t="s">
        <v>7</v>
      </c>
      <c r="C19" s="11" t="str">
        <f>_xlfn.CONCAT("Week: 3/12 | Phase: 1/2 | Total distance: ", SUM(G21:G27), " km")</f>
        <v>Week: 3/12 | Phase: 1/2 | Total distance: 101 km</v>
      </c>
      <c r="D19" s="11"/>
      <c r="E19" s="11"/>
      <c r="H19" s="5"/>
      <c r="I19" s="5"/>
      <c r="J19" s="5"/>
    </row>
    <row r="20" spans="1:10" x14ac:dyDescent="0.2">
      <c r="A20" t="s">
        <v>9</v>
      </c>
      <c r="B20" t="s">
        <v>5</v>
      </c>
      <c r="C20" s="6" t="s">
        <v>13</v>
      </c>
      <c r="D20" s="8" t="s">
        <v>0</v>
      </c>
      <c r="E20" s="1" t="s">
        <v>12</v>
      </c>
      <c r="F20" s="2" t="s">
        <v>4</v>
      </c>
      <c r="G20" s="2" t="s">
        <v>1</v>
      </c>
      <c r="H20" s="2" t="s">
        <v>11</v>
      </c>
      <c r="I20" s="2" t="s">
        <v>20</v>
      </c>
      <c r="J20" s="2" t="s">
        <v>10</v>
      </c>
    </row>
    <row r="21" spans="1:10" ht="18" x14ac:dyDescent="0.2">
      <c r="B21" t="s">
        <v>15</v>
      </c>
      <c r="C21" s="7" t="str">
        <f>UPPER(TEXT(D21, "dddd"))</f>
        <v>MONDAY</v>
      </c>
      <c r="D21" s="9">
        <v>45530</v>
      </c>
      <c r="E21" t="s">
        <v>1</v>
      </c>
      <c r="F21">
        <v>60</v>
      </c>
      <c r="G21">
        <v>13</v>
      </c>
      <c r="H21" s="5" t="s">
        <v>14</v>
      </c>
      <c r="I21" s="5" t="s">
        <v>14</v>
      </c>
      <c r="J21" s="5" t="s">
        <v>14</v>
      </c>
    </row>
    <row r="22" spans="1:10" ht="18" x14ac:dyDescent="0.2">
      <c r="B22" t="s">
        <v>15</v>
      </c>
      <c r="C22" s="7" t="str">
        <f t="shared" ref="C22:C27" si="2">UPPER(TEXT(D22, "dddd"))</f>
        <v>TUESDAY</v>
      </c>
      <c r="D22" s="9">
        <v>45531</v>
      </c>
      <c r="E22" t="s">
        <v>1</v>
      </c>
      <c r="F22">
        <v>60</v>
      </c>
      <c r="G22">
        <v>13</v>
      </c>
      <c r="H22" s="5" t="s">
        <v>14</v>
      </c>
      <c r="I22" s="5" t="s">
        <v>14</v>
      </c>
      <c r="J22" s="5" t="s">
        <v>14</v>
      </c>
    </row>
    <row r="23" spans="1:10" ht="18" x14ac:dyDescent="0.2">
      <c r="B23" t="s">
        <v>15</v>
      </c>
      <c r="C23" s="7" t="str">
        <f t="shared" si="2"/>
        <v>WEDNESDAY</v>
      </c>
      <c r="D23" s="9">
        <v>45532</v>
      </c>
      <c r="E23" t="s">
        <v>2</v>
      </c>
      <c r="F23">
        <v>60</v>
      </c>
      <c r="G23">
        <v>13</v>
      </c>
      <c r="H23" s="5" t="s">
        <v>14</v>
      </c>
      <c r="I23" s="5" t="s">
        <v>14</v>
      </c>
      <c r="J23" s="5" t="s">
        <v>14</v>
      </c>
    </row>
    <row r="24" spans="1:10" ht="18" x14ac:dyDescent="0.2">
      <c r="B24" t="s">
        <v>15</v>
      </c>
      <c r="C24" s="7" t="str">
        <f t="shared" si="2"/>
        <v>THURSDAY</v>
      </c>
      <c r="D24" s="9">
        <v>45533</v>
      </c>
      <c r="E24" t="s">
        <v>1</v>
      </c>
      <c r="F24">
        <v>60</v>
      </c>
      <c r="G24">
        <v>13</v>
      </c>
      <c r="H24" s="5" t="s">
        <v>14</v>
      </c>
      <c r="I24" s="5" t="s">
        <v>14</v>
      </c>
      <c r="J24" s="5" t="s">
        <v>14</v>
      </c>
    </row>
    <row r="25" spans="1:10" ht="18" x14ac:dyDescent="0.2">
      <c r="B25" t="s">
        <v>15</v>
      </c>
      <c r="C25" s="7" t="str">
        <f t="shared" si="2"/>
        <v>FRIDAY</v>
      </c>
      <c r="D25" s="9">
        <v>45534</v>
      </c>
      <c r="E25" t="s">
        <v>1</v>
      </c>
      <c r="F25">
        <v>60</v>
      </c>
      <c r="G25">
        <v>13</v>
      </c>
      <c r="H25" s="5" t="s">
        <v>14</v>
      </c>
      <c r="I25" s="5" t="s">
        <v>14</v>
      </c>
      <c r="J25" s="5" t="s">
        <v>14</v>
      </c>
    </row>
    <row r="26" spans="1:10" ht="18" x14ac:dyDescent="0.2">
      <c r="B26" t="s">
        <v>15</v>
      </c>
      <c r="C26" s="7" t="str">
        <f t="shared" si="2"/>
        <v>SATURDAY</v>
      </c>
      <c r="D26" s="9">
        <v>45535</v>
      </c>
      <c r="E26" t="s">
        <v>3</v>
      </c>
      <c r="F26">
        <v>60</v>
      </c>
      <c r="G26">
        <v>21</v>
      </c>
      <c r="H26" s="5" t="s">
        <v>14</v>
      </c>
      <c r="I26" s="5" t="s">
        <v>14</v>
      </c>
      <c r="J26" s="5" t="s">
        <v>14</v>
      </c>
    </row>
    <row r="27" spans="1:10" ht="18" x14ac:dyDescent="0.2">
      <c r="B27" t="s">
        <v>15</v>
      </c>
      <c r="C27" s="7" t="str">
        <f t="shared" si="2"/>
        <v>SUNDAY</v>
      </c>
      <c r="D27" s="9">
        <v>45536</v>
      </c>
      <c r="E27" t="s">
        <v>19</v>
      </c>
      <c r="F27">
        <v>120</v>
      </c>
      <c r="G27">
        <v>15</v>
      </c>
      <c r="H27" s="5" t="s">
        <v>14</v>
      </c>
      <c r="I27" s="5" t="s">
        <v>14</v>
      </c>
      <c r="J27" s="5" t="s">
        <v>14</v>
      </c>
    </row>
    <row r="28" spans="1:10" ht="18" x14ac:dyDescent="0.2">
      <c r="A28" t="s">
        <v>8</v>
      </c>
      <c r="B28" t="s">
        <v>7</v>
      </c>
      <c r="C28" s="11" t="str">
        <f>_xlfn.CONCAT("Week: 4/12 | Phase: 1/2 | Total distance: ", SUM(G30:G36), " km")</f>
        <v>Week: 4/12 | Phase: 1/2 | Total distance: 101 km</v>
      </c>
      <c r="D28" s="11"/>
      <c r="E28" s="11"/>
      <c r="H28" s="5"/>
      <c r="I28" s="5"/>
      <c r="J28" s="5"/>
    </row>
    <row r="29" spans="1:10" x14ac:dyDescent="0.2">
      <c r="A29" t="s">
        <v>9</v>
      </c>
      <c r="B29" t="s">
        <v>5</v>
      </c>
      <c r="C29" s="6" t="s">
        <v>13</v>
      </c>
      <c r="D29" s="8" t="s">
        <v>0</v>
      </c>
      <c r="E29" s="1" t="s">
        <v>12</v>
      </c>
      <c r="F29" s="2" t="s">
        <v>4</v>
      </c>
      <c r="G29" s="2" t="s">
        <v>1</v>
      </c>
      <c r="H29" s="2" t="s">
        <v>11</v>
      </c>
      <c r="I29" s="2" t="s">
        <v>20</v>
      </c>
      <c r="J29" s="2" t="s">
        <v>10</v>
      </c>
    </row>
    <row r="30" spans="1:10" ht="18" x14ac:dyDescent="0.2">
      <c r="B30" t="s">
        <v>15</v>
      </c>
      <c r="C30" s="7" t="str">
        <f>UPPER(TEXT(D30, "dddd"))</f>
        <v>MONDAY</v>
      </c>
      <c r="D30" s="9">
        <v>45537</v>
      </c>
      <c r="E30" t="s">
        <v>1</v>
      </c>
      <c r="F30">
        <v>60</v>
      </c>
      <c r="G30">
        <v>13</v>
      </c>
      <c r="H30" s="5" t="s">
        <v>14</v>
      </c>
      <c r="I30" s="5" t="s">
        <v>14</v>
      </c>
      <c r="J30" s="5" t="s">
        <v>14</v>
      </c>
    </row>
    <row r="31" spans="1:10" ht="18" x14ac:dyDescent="0.2">
      <c r="B31" t="s">
        <v>15</v>
      </c>
      <c r="C31" s="7" t="str">
        <f t="shared" ref="C31:C36" si="3">UPPER(TEXT(D31, "dddd"))</f>
        <v>TUESDAY</v>
      </c>
      <c r="D31" s="9">
        <v>45538</v>
      </c>
      <c r="E31" t="s">
        <v>1</v>
      </c>
      <c r="F31">
        <v>60</v>
      </c>
      <c r="G31">
        <v>13</v>
      </c>
      <c r="H31" s="5" t="s">
        <v>14</v>
      </c>
      <c r="I31" s="5" t="s">
        <v>14</v>
      </c>
      <c r="J31" s="5" t="s">
        <v>14</v>
      </c>
    </row>
    <row r="32" spans="1:10" ht="18" x14ac:dyDescent="0.2">
      <c r="B32" t="s">
        <v>15</v>
      </c>
      <c r="C32" s="7" t="str">
        <f t="shared" si="3"/>
        <v>WEDNESDAY</v>
      </c>
      <c r="D32" s="9">
        <v>45539</v>
      </c>
      <c r="E32" t="s">
        <v>2</v>
      </c>
      <c r="F32">
        <v>60</v>
      </c>
      <c r="G32">
        <v>13</v>
      </c>
      <c r="H32" s="5" t="s">
        <v>14</v>
      </c>
      <c r="I32" s="5" t="s">
        <v>14</v>
      </c>
      <c r="J32" s="5" t="s">
        <v>14</v>
      </c>
    </row>
    <row r="33" spans="1:10" ht="18" x14ac:dyDescent="0.2">
      <c r="B33" t="s">
        <v>15</v>
      </c>
      <c r="C33" s="7" t="str">
        <f t="shared" si="3"/>
        <v>THURSDAY</v>
      </c>
      <c r="D33" s="9">
        <v>45540</v>
      </c>
      <c r="E33" t="s">
        <v>1</v>
      </c>
      <c r="F33">
        <v>60</v>
      </c>
      <c r="G33">
        <v>13</v>
      </c>
      <c r="H33" s="5" t="s">
        <v>14</v>
      </c>
      <c r="I33" s="5" t="s">
        <v>14</v>
      </c>
      <c r="J33" s="5" t="s">
        <v>14</v>
      </c>
    </row>
    <row r="34" spans="1:10" ht="18" x14ac:dyDescent="0.2">
      <c r="B34" t="s">
        <v>15</v>
      </c>
      <c r="C34" s="7" t="str">
        <f t="shared" si="3"/>
        <v>FRIDAY</v>
      </c>
      <c r="D34" s="9">
        <v>45541</v>
      </c>
      <c r="E34" t="s">
        <v>1</v>
      </c>
      <c r="F34">
        <v>60</v>
      </c>
      <c r="G34">
        <v>13</v>
      </c>
      <c r="H34" s="5" t="s">
        <v>14</v>
      </c>
      <c r="I34" s="5" t="s">
        <v>14</v>
      </c>
      <c r="J34" s="5" t="s">
        <v>14</v>
      </c>
    </row>
    <row r="35" spans="1:10" ht="18" x14ac:dyDescent="0.2">
      <c r="B35" t="s">
        <v>15</v>
      </c>
      <c r="C35" s="7" t="str">
        <f t="shared" si="3"/>
        <v>SATURDAY</v>
      </c>
      <c r="D35" s="9">
        <v>45542</v>
      </c>
      <c r="E35" t="s">
        <v>3</v>
      </c>
      <c r="F35">
        <v>60</v>
      </c>
      <c r="G35">
        <v>21</v>
      </c>
      <c r="H35" s="5" t="s">
        <v>14</v>
      </c>
      <c r="I35" s="5" t="s">
        <v>14</v>
      </c>
      <c r="J35" s="5" t="s">
        <v>14</v>
      </c>
    </row>
    <row r="36" spans="1:10" ht="18" x14ac:dyDescent="0.2">
      <c r="B36" t="s">
        <v>15</v>
      </c>
      <c r="C36" s="7" t="str">
        <f t="shared" si="3"/>
        <v>SUNDAY</v>
      </c>
      <c r="D36" s="9">
        <v>45543</v>
      </c>
      <c r="E36" t="s">
        <v>19</v>
      </c>
      <c r="F36">
        <v>120</v>
      </c>
      <c r="G36">
        <v>15</v>
      </c>
      <c r="H36" s="5" t="s">
        <v>14</v>
      </c>
      <c r="I36" s="5" t="s">
        <v>14</v>
      </c>
      <c r="J36" s="5" t="s">
        <v>14</v>
      </c>
    </row>
    <row r="37" spans="1:10" ht="18" x14ac:dyDescent="0.2">
      <c r="A37" t="s">
        <v>8</v>
      </c>
      <c r="B37" t="s">
        <v>7</v>
      </c>
      <c r="C37" s="11" t="str">
        <f>_xlfn.CONCAT("Week: 5/12 | Phase: 1/2 | Total distance: ", SUM(G39:G45), " km")</f>
        <v>Week: 5/12 | Phase: 1/2 | Total distance: 101 km</v>
      </c>
      <c r="D37" s="11"/>
      <c r="E37" s="11"/>
      <c r="H37" s="5"/>
      <c r="I37" s="5"/>
      <c r="J37" s="5"/>
    </row>
    <row r="38" spans="1:10" x14ac:dyDescent="0.2">
      <c r="A38" t="s">
        <v>9</v>
      </c>
      <c r="B38" t="s">
        <v>5</v>
      </c>
      <c r="C38" s="6" t="s">
        <v>13</v>
      </c>
      <c r="D38" s="8" t="s">
        <v>0</v>
      </c>
      <c r="E38" s="1" t="s">
        <v>12</v>
      </c>
      <c r="F38" s="2" t="s">
        <v>4</v>
      </c>
      <c r="G38" s="2" t="s">
        <v>1</v>
      </c>
      <c r="H38" s="2" t="s">
        <v>11</v>
      </c>
      <c r="I38" s="2" t="s">
        <v>20</v>
      </c>
      <c r="J38" s="2" t="s">
        <v>10</v>
      </c>
    </row>
    <row r="39" spans="1:10" ht="18" x14ac:dyDescent="0.2">
      <c r="B39" t="s">
        <v>15</v>
      </c>
      <c r="C39" s="7" t="str">
        <f>UPPER(TEXT(D39, "dddd"))</f>
        <v>MONDAY</v>
      </c>
      <c r="D39" s="9">
        <v>45544</v>
      </c>
      <c r="E39" t="s">
        <v>1</v>
      </c>
      <c r="F39">
        <v>60</v>
      </c>
      <c r="G39">
        <v>13</v>
      </c>
      <c r="H39" s="5" t="s">
        <v>14</v>
      </c>
      <c r="I39" s="5" t="s">
        <v>14</v>
      </c>
      <c r="J39" s="5" t="s">
        <v>14</v>
      </c>
    </row>
    <row r="40" spans="1:10" ht="18" x14ac:dyDescent="0.2">
      <c r="B40" t="s">
        <v>15</v>
      </c>
      <c r="C40" s="7" t="str">
        <f t="shared" ref="C40:C45" si="4">UPPER(TEXT(D40, "dddd"))</f>
        <v>TUESDAY</v>
      </c>
      <c r="D40" s="9">
        <v>45545</v>
      </c>
      <c r="E40" t="s">
        <v>1</v>
      </c>
      <c r="F40">
        <v>60</v>
      </c>
      <c r="G40">
        <v>13</v>
      </c>
      <c r="H40" s="5" t="s">
        <v>14</v>
      </c>
      <c r="I40" s="5" t="s">
        <v>14</v>
      </c>
      <c r="J40" s="5" t="s">
        <v>14</v>
      </c>
    </row>
    <row r="41" spans="1:10" ht="18" x14ac:dyDescent="0.2">
      <c r="B41" t="s">
        <v>15</v>
      </c>
      <c r="C41" s="7" t="str">
        <f t="shared" si="4"/>
        <v>WEDNESDAY</v>
      </c>
      <c r="D41" s="9">
        <v>45546</v>
      </c>
      <c r="E41" t="s">
        <v>2</v>
      </c>
      <c r="F41">
        <v>60</v>
      </c>
      <c r="G41">
        <v>13</v>
      </c>
      <c r="H41" s="5" t="s">
        <v>14</v>
      </c>
      <c r="I41" s="5" t="s">
        <v>14</v>
      </c>
      <c r="J41" s="5" t="s">
        <v>14</v>
      </c>
    </row>
    <row r="42" spans="1:10" ht="18" x14ac:dyDescent="0.2">
      <c r="B42" t="s">
        <v>15</v>
      </c>
      <c r="C42" s="7" t="str">
        <f t="shared" si="4"/>
        <v>THURSDAY</v>
      </c>
      <c r="D42" s="9">
        <v>45547</v>
      </c>
      <c r="E42" t="s">
        <v>1</v>
      </c>
      <c r="F42">
        <v>60</v>
      </c>
      <c r="G42">
        <v>13</v>
      </c>
      <c r="H42" s="5" t="s">
        <v>14</v>
      </c>
      <c r="I42" s="5" t="s">
        <v>14</v>
      </c>
      <c r="J42" s="5" t="s">
        <v>14</v>
      </c>
    </row>
    <row r="43" spans="1:10" ht="18" x14ac:dyDescent="0.2">
      <c r="B43" t="s">
        <v>15</v>
      </c>
      <c r="C43" s="7" t="str">
        <f t="shared" si="4"/>
        <v>FRIDAY</v>
      </c>
      <c r="D43" s="9">
        <v>45548</v>
      </c>
      <c r="E43" t="s">
        <v>1</v>
      </c>
      <c r="F43">
        <v>60</v>
      </c>
      <c r="G43">
        <v>13</v>
      </c>
      <c r="H43" s="5" t="s">
        <v>14</v>
      </c>
      <c r="I43" s="5" t="s">
        <v>14</v>
      </c>
      <c r="J43" s="5" t="s">
        <v>14</v>
      </c>
    </row>
    <row r="44" spans="1:10" ht="18" x14ac:dyDescent="0.2">
      <c r="B44" t="s">
        <v>15</v>
      </c>
      <c r="C44" s="7" t="str">
        <f t="shared" si="4"/>
        <v>SATURDAY</v>
      </c>
      <c r="D44" s="9">
        <v>45549</v>
      </c>
      <c r="E44" t="s">
        <v>3</v>
      </c>
      <c r="F44">
        <v>60</v>
      </c>
      <c r="G44">
        <v>21</v>
      </c>
      <c r="H44" s="5" t="s">
        <v>14</v>
      </c>
      <c r="I44" s="5" t="s">
        <v>14</v>
      </c>
      <c r="J44" s="5" t="s">
        <v>14</v>
      </c>
    </row>
    <row r="45" spans="1:10" ht="18" x14ac:dyDescent="0.2">
      <c r="B45" t="s">
        <v>15</v>
      </c>
      <c r="C45" s="7" t="str">
        <f t="shared" si="4"/>
        <v>SUNDAY</v>
      </c>
      <c r="D45" s="9">
        <v>45550</v>
      </c>
      <c r="E45" t="s">
        <v>19</v>
      </c>
      <c r="F45">
        <v>120</v>
      </c>
      <c r="G45">
        <v>15</v>
      </c>
      <c r="H45" s="5" t="s">
        <v>14</v>
      </c>
      <c r="I45" s="5" t="s">
        <v>14</v>
      </c>
      <c r="J45" s="5" t="s">
        <v>14</v>
      </c>
    </row>
    <row r="46" spans="1:10" ht="18" x14ac:dyDescent="0.2">
      <c r="A46" t="s">
        <v>8</v>
      </c>
      <c r="B46" t="s">
        <v>7</v>
      </c>
      <c r="C46" s="11" t="str">
        <f>_xlfn.CONCAT("Week: 6/12 | Phase: 1/2 | Total distance: ", SUM(G48:G54), " km")</f>
        <v>Week: 6/12 | Phase: 1/2 | Total distance: 101 km</v>
      </c>
      <c r="D46" s="11"/>
      <c r="E46" s="11"/>
      <c r="H46" s="5"/>
      <c r="I46" s="5"/>
      <c r="J46" s="5"/>
    </row>
    <row r="47" spans="1:10" x14ac:dyDescent="0.2">
      <c r="A47" t="s">
        <v>9</v>
      </c>
      <c r="B47" t="s">
        <v>5</v>
      </c>
      <c r="C47" s="6" t="s">
        <v>13</v>
      </c>
      <c r="D47" s="8" t="s">
        <v>0</v>
      </c>
      <c r="E47" s="1" t="s">
        <v>12</v>
      </c>
      <c r="F47" s="2" t="s">
        <v>4</v>
      </c>
      <c r="G47" s="2" t="s">
        <v>1</v>
      </c>
      <c r="H47" s="2" t="s">
        <v>11</v>
      </c>
      <c r="I47" s="2" t="s">
        <v>20</v>
      </c>
      <c r="J47" s="2" t="s">
        <v>10</v>
      </c>
    </row>
    <row r="48" spans="1:10" ht="18" x14ac:dyDescent="0.2">
      <c r="B48" t="s">
        <v>15</v>
      </c>
      <c r="C48" s="7" t="str">
        <f>UPPER(TEXT(D48, "dddd"))</f>
        <v>MONDAY</v>
      </c>
      <c r="D48" s="9">
        <v>45551</v>
      </c>
      <c r="E48" t="s">
        <v>1</v>
      </c>
      <c r="F48">
        <v>60</v>
      </c>
      <c r="G48">
        <v>13</v>
      </c>
      <c r="H48" s="5" t="s">
        <v>14</v>
      </c>
      <c r="I48" s="5" t="s">
        <v>14</v>
      </c>
      <c r="J48" s="5" t="s">
        <v>14</v>
      </c>
    </row>
    <row r="49" spans="1:10" ht="18" x14ac:dyDescent="0.2">
      <c r="B49" t="s">
        <v>15</v>
      </c>
      <c r="C49" s="7" t="str">
        <f t="shared" ref="C49:C54" si="5">UPPER(TEXT(D49, "dddd"))</f>
        <v>TUESDAY</v>
      </c>
      <c r="D49" s="9">
        <v>45552</v>
      </c>
      <c r="E49" t="s">
        <v>1</v>
      </c>
      <c r="F49">
        <v>60</v>
      </c>
      <c r="G49">
        <v>13</v>
      </c>
      <c r="H49" s="5" t="s">
        <v>14</v>
      </c>
      <c r="I49" s="5" t="s">
        <v>14</v>
      </c>
      <c r="J49" s="5" t="s">
        <v>14</v>
      </c>
    </row>
    <row r="50" spans="1:10" ht="18" x14ac:dyDescent="0.2">
      <c r="B50" t="s">
        <v>15</v>
      </c>
      <c r="C50" s="7" t="str">
        <f t="shared" si="5"/>
        <v>WEDNESDAY</v>
      </c>
      <c r="D50" s="9">
        <v>45553</v>
      </c>
      <c r="E50" t="s">
        <v>2</v>
      </c>
      <c r="F50">
        <v>120</v>
      </c>
      <c r="G50">
        <v>13</v>
      </c>
      <c r="H50" s="5" t="s">
        <v>14</v>
      </c>
      <c r="I50" s="5" t="s">
        <v>14</v>
      </c>
      <c r="J50" s="5" t="s">
        <v>14</v>
      </c>
    </row>
    <row r="51" spans="1:10" ht="18" x14ac:dyDescent="0.2">
      <c r="B51" t="s">
        <v>15</v>
      </c>
      <c r="C51" s="7" t="str">
        <f t="shared" si="5"/>
        <v>THURSDAY</v>
      </c>
      <c r="D51" s="9">
        <v>45554</v>
      </c>
      <c r="E51" t="s">
        <v>1</v>
      </c>
      <c r="F51">
        <v>60</v>
      </c>
      <c r="G51">
        <v>13</v>
      </c>
      <c r="H51" s="5" t="s">
        <v>14</v>
      </c>
      <c r="I51" s="5" t="s">
        <v>14</v>
      </c>
      <c r="J51" s="5" t="s">
        <v>14</v>
      </c>
    </row>
    <row r="52" spans="1:10" ht="18" x14ac:dyDescent="0.2">
      <c r="B52" t="s">
        <v>15</v>
      </c>
      <c r="C52" s="7" t="str">
        <f t="shared" si="5"/>
        <v>FRIDAY</v>
      </c>
      <c r="D52" s="9">
        <v>45555</v>
      </c>
      <c r="E52" t="s">
        <v>1</v>
      </c>
      <c r="F52">
        <v>60</v>
      </c>
      <c r="G52">
        <v>13</v>
      </c>
      <c r="H52" s="5" t="s">
        <v>14</v>
      </c>
      <c r="I52" s="5" t="s">
        <v>14</v>
      </c>
      <c r="J52" s="5" t="s">
        <v>14</v>
      </c>
    </row>
    <row r="53" spans="1:10" ht="18" x14ac:dyDescent="0.2">
      <c r="B53" t="s">
        <v>15</v>
      </c>
      <c r="C53" s="7" t="str">
        <f t="shared" si="5"/>
        <v>SATURDAY</v>
      </c>
      <c r="D53" s="9">
        <v>45556</v>
      </c>
      <c r="E53" t="s">
        <v>3</v>
      </c>
      <c r="F53">
        <v>60</v>
      </c>
      <c r="G53">
        <v>21</v>
      </c>
      <c r="H53" s="5" t="s">
        <v>14</v>
      </c>
      <c r="I53" s="5" t="s">
        <v>14</v>
      </c>
      <c r="J53" s="5" t="s">
        <v>14</v>
      </c>
    </row>
    <row r="54" spans="1:10" ht="18" x14ac:dyDescent="0.2">
      <c r="B54" t="s">
        <v>15</v>
      </c>
      <c r="C54" s="7" t="str">
        <f t="shared" si="5"/>
        <v>SUNDAY</v>
      </c>
      <c r="D54" s="9">
        <v>45557</v>
      </c>
      <c r="E54" s="3" t="s">
        <v>19</v>
      </c>
      <c r="F54">
        <v>120</v>
      </c>
      <c r="G54">
        <v>15</v>
      </c>
      <c r="H54" s="5" t="s">
        <v>14</v>
      </c>
      <c r="I54" s="5" t="s">
        <v>14</v>
      </c>
      <c r="J54" s="5" t="s">
        <v>14</v>
      </c>
    </row>
    <row r="55" spans="1:10" ht="18" x14ac:dyDescent="0.2">
      <c r="A55" t="s">
        <v>8</v>
      </c>
      <c r="B55" t="s">
        <v>7</v>
      </c>
      <c r="C55" s="11" t="str">
        <f>_xlfn.CONCAT("Week: 7/12 | Phase: 1/2 | Total distance: ", SUM(G57:G63), " km")</f>
        <v>Week: 7/12 | Phase: 1/2 | Total distance: 114 km</v>
      </c>
      <c r="D55" s="11"/>
      <c r="E55" s="11"/>
      <c r="H55" s="5"/>
      <c r="I55" s="5"/>
      <c r="J55" s="5"/>
    </row>
    <row r="56" spans="1:10" x14ac:dyDescent="0.2">
      <c r="A56" t="s">
        <v>9</v>
      </c>
      <c r="B56" t="s">
        <v>5</v>
      </c>
      <c r="C56" s="6" t="s">
        <v>13</v>
      </c>
      <c r="D56" s="8" t="s">
        <v>0</v>
      </c>
      <c r="E56" s="1" t="s">
        <v>12</v>
      </c>
      <c r="F56" s="2" t="s">
        <v>4</v>
      </c>
      <c r="G56" s="2" t="s">
        <v>1</v>
      </c>
      <c r="H56" s="2" t="s">
        <v>11</v>
      </c>
      <c r="I56" s="2" t="s">
        <v>20</v>
      </c>
      <c r="J56" s="2" t="s">
        <v>10</v>
      </c>
    </row>
    <row r="57" spans="1:10" ht="18" x14ac:dyDescent="0.2">
      <c r="B57" t="s">
        <v>16</v>
      </c>
      <c r="C57" s="7" t="str">
        <f>UPPER(TEXT(D57, "dddd"))</f>
        <v>MONDAY</v>
      </c>
      <c r="D57" s="9">
        <v>45558</v>
      </c>
      <c r="E57" t="s">
        <v>1</v>
      </c>
      <c r="F57">
        <v>60</v>
      </c>
      <c r="G57">
        <v>13</v>
      </c>
      <c r="H57" s="5" t="s">
        <v>14</v>
      </c>
      <c r="I57" s="5" t="s">
        <v>14</v>
      </c>
      <c r="J57" s="5" t="s">
        <v>14</v>
      </c>
    </row>
    <row r="58" spans="1:10" ht="18" x14ac:dyDescent="0.2">
      <c r="B58" t="s">
        <v>15</v>
      </c>
      <c r="C58" s="7" t="str">
        <f t="shared" ref="C58:C63" si="6">UPPER(TEXT(D58, "dddd"))</f>
        <v>TUESDAY</v>
      </c>
      <c r="D58" s="9">
        <v>45559</v>
      </c>
      <c r="E58" t="s">
        <v>1</v>
      </c>
      <c r="F58">
        <v>60</v>
      </c>
      <c r="G58">
        <v>13</v>
      </c>
      <c r="H58" s="5" t="s">
        <v>14</v>
      </c>
      <c r="I58" s="5" t="s">
        <v>14</v>
      </c>
      <c r="J58" s="5" t="s">
        <v>14</v>
      </c>
    </row>
    <row r="59" spans="1:10" ht="18" x14ac:dyDescent="0.2">
      <c r="B59" t="s">
        <v>15</v>
      </c>
      <c r="C59" s="7" t="str">
        <f t="shared" si="6"/>
        <v>WEDNESDAY</v>
      </c>
      <c r="D59" s="9">
        <v>45560</v>
      </c>
      <c r="E59" t="s">
        <v>18</v>
      </c>
      <c r="F59">
        <v>120</v>
      </c>
      <c r="G59" s="3">
        <v>26</v>
      </c>
      <c r="H59" s="5" t="s">
        <v>14</v>
      </c>
      <c r="I59" s="5" t="s">
        <v>14</v>
      </c>
      <c r="J59" s="5" t="s">
        <v>14</v>
      </c>
    </row>
    <row r="60" spans="1:10" ht="18" x14ac:dyDescent="0.2">
      <c r="B60" t="s">
        <v>15</v>
      </c>
      <c r="C60" s="7" t="str">
        <f t="shared" si="6"/>
        <v>THURSDAY</v>
      </c>
      <c r="D60" s="9">
        <v>45561</v>
      </c>
      <c r="E60" t="s">
        <v>1</v>
      </c>
      <c r="F60">
        <v>60</v>
      </c>
      <c r="G60">
        <v>13</v>
      </c>
      <c r="H60" s="5" t="s">
        <v>14</v>
      </c>
      <c r="I60" s="5" t="s">
        <v>14</v>
      </c>
      <c r="J60" s="5" t="s">
        <v>14</v>
      </c>
    </row>
    <row r="61" spans="1:10" ht="18" x14ac:dyDescent="0.2">
      <c r="B61" t="s">
        <v>15</v>
      </c>
      <c r="C61" s="7" t="str">
        <f t="shared" si="6"/>
        <v>FRIDAY</v>
      </c>
      <c r="D61" s="9">
        <v>45562</v>
      </c>
      <c r="E61" t="s">
        <v>1</v>
      </c>
      <c r="F61">
        <v>60</v>
      </c>
      <c r="G61">
        <v>13</v>
      </c>
      <c r="H61" s="5" t="s">
        <v>14</v>
      </c>
      <c r="I61" s="5" t="s">
        <v>14</v>
      </c>
      <c r="J61" s="5" t="s">
        <v>14</v>
      </c>
    </row>
    <row r="62" spans="1:10" ht="18" x14ac:dyDescent="0.2">
      <c r="B62" t="s">
        <v>15</v>
      </c>
      <c r="C62" s="7" t="str">
        <f t="shared" si="6"/>
        <v>SATURDAY</v>
      </c>
      <c r="D62" s="9">
        <v>45563</v>
      </c>
      <c r="E62" t="s">
        <v>3</v>
      </c>
      <c r="F62">
        <v>60</v>
      </c>
      <c r="G62">
        <v>21</v>
      </c>
      <c r="H62" s="5" t="s">
        <v>14</v>
      </c>
      <c r="I62" s="5" t="s">
        <v>14</v>
      </c>
      <c r="J62" s="5" t="s">
        <v>14</v>
      </c>
    </row>
    <row r="63" spans="1:10" ht="18" x14ac:dyDescent="0.2">
      <c r="B63" t="s">
        <v>15</v>
      </c>
      <c r="C63" s="7" t="str">
        <f t="shared" si="6"/>
        <v>SUNDAY</v>
      </c>
      <c r="D63" s="9">
        <v>45564</v>
      </c>
      <c r="E63" s="3" t="s">
        <v>19</v>
      </c>
      <c r="F63">
        <v>120</v>
      </c>
      <c r="G63">
        <v>15</v>
      </c>
      <c r="H63" s="5" t="s">
        <v>14</v>
      </c>
      <c r="I63" s="5" t="s">
        <v>14</v>
      </c>
      <c r="J63" s="5" t="s">
        <v>14</v>
      </c>
    </row>
    <row r="64" spans="1:10" ht="18" x14ac:dyDescent="0.2">
      <c r="A64" t="s">
        <v>8</v>
      </c>
      <c r="B64" t="s">
        <v>7</v>
      </c>
      <c r="C64" s="11" t="str">
        <f>_xlfn.CONCAT("Week: 8/12 | Phase: 2/2 | Total distance: ", SUM(G66:G72), " km")</f>
        <v>Week: 8/12 | Phase: 2/2 | Total distance: 114 km</v>
      </c>
      <c r="D64" s="11"/>
      <c r="E64" s="11"/>
      <c r="I64" s="5"/>
      <c r="J64" s="5"/>
    </row>
    <row r="65" spans="1:10" x14ac:dyDescent="0.2">
      <c r="A65" t="s">
        <v>9</v>
      </c>
      <c r="B65" t="s">
        <v>5</v>
      </c>
      <c r="C65" s="6" t="s">
        <v>13</v>
      </c>
      <c r="D65" s="8" t="s">
        <v>0</v>
      </c>
      <c r="E65" s="1" t="s">
        <v>12</v>
      </c>
      <c r="F65" s="2" t="s">
        <v>4</v>
      </c>
      <c r="G65" s="2" t="s">
        <v>1</v>
      </c>
      <c r="H65" s="2" t="s">
        <v>11</v>
      </c>
      <c r="I65" s="2" t="s">
        <v>20</v>
      </c>
      <c r="J65" s="2" t="s">
        <v>10</v>
      </c>
    </row>
    <row r="66" spans="1:10" ht="18" x14ac:dyDescent="0.2">
      <c r="B66" t="s">
        <v>15</v>
      </c>
      <c r="C66" s="7" t="str">
        <f>UPPER(TEXT(D66, "dddd"))</f>
        <v>MONDAY</v>
      </c>
      <c r="D66" s="9">
        <v>45565</v>
      </c>
      <c r="E66" t="s">
        <v>1</v>
      </c>
      <c r="F66">
        <v>60</v>
      </c>
      <c r="G66">
        <v>13</v>
      </c>
      <c r="H66" s="5" t="s">
        <v>14</v>
      </c>
      <c r="I66" s="5" t="s">
        <v>14</v>
      </c>
      <c r="J66" s="5" t="s">
        <v>14</v>
      </c>
    </row>
    <row r="67" spans="1:10" ht="18" x14ac:dyDescent="0.2">
      <c r="B67" t="s">
        <v>15</v>
      </c>
      <c r="C67" s="7" t="str">
        <f t="shared" ref="C67:C72" si="7">UPPER(TEXT(D67, "dddd"))</f>
        <v>TUESDAY</v>
      </c>
      <c r="D67" s="9">
        <v>45566</v>
      </c>
      <c r="E67" t="s">
        <v>1</v>
      </c>
      <c r="F67">
        <v>60</v>
      </c>
      <c r="G67">
        <v>13</v>
      </c>
      <c r="H67" s="5" t="s">
        <v>14</v>
      </c>
      <c r="I67" s="5" t="s">
        <v>14</v>
      </c>
      <c r="J67" s="5" t="s">
        <v>14</v>
      </c>
    </row>
    <row r="68" spans="1:10" ht="18" x14ac:dyDescent="0.2">
      <c r="B68" t="s">
        <v>15</v>
      </c>
      <c r="C68" s="7" t="str">
        <f t="shared" si="7"/>
        <v>WEDNESDAY</v>
      </c>
      <c r="D68" s="9">
        <v>45567</v>
      </c>
      <c r="E68" t="s">
        <v>18</v>
      </c>
      <c r="F68">
        <v>120</v>
      </c>
      <c r="G68" s="3">
        <v>26</v>
      </c>
      <c r="H68" s="5" t="s">
        <v>14</v>
      </c>
      <c r="I68" s="5" t="s">
        <v>14</v>
      </c>
      <c r="J68" s="5" t="s">
        <v>14</v>
      </c>
    </row>
    <row r="69" spans="1:10" ht="18" x14ac:dyDescent="0.2">
      <c r="B69" t="s">
        <v>15</v>
      </c>
      <c r="C69" s="7" t="str">
        <f t="shared" si="7"/>
        <v>THURSDAY</v>
      </c>
      <c r="D69" s="9">
        <v>45568</v>
      </c>
      <c r="E69" t="s">
        <v>1</v>
      </c>
      <c r="F69">
        <v>60</v>
      </c>
      <c r="G69">
        <v>13</v>
      </c>
      <c r="H69" s="5" t="s">
        <v>14</v>
      </c>
      <c r="I69" s="5" t="s">
        <v>14</v>
      </c>
      <c r="J69" s="5" t="s">
        <v>14</v>
      </c>
    </row>
    <row r="70" spans="1:10" ht="18" x14ac:dyDescent="0.2">
      <c r="B70" t="s">
        <v>15</v>
      </c>
      <c r="C70" s="7" t="str">
        <f t="shared" si="7"/>
        <v>FRIDAY</v>
      </c>
      <c r="D70" s="9">
        <v>45569</v>
      </c>
      <c r="E70" t="s">
        <v>1</v>
      </c>
      <c r="F70">
        <v>60</v>
      </c>
      <c r="G70">
        <v>13</v>
      </c>
      <c r="H70" s="5" t="s">
        <v>14</v>
      </c>
      <c r="I70" s="5" t="s">
        <v>14</v>
      </c>
      <c r="J70" s="5" t="s">
        <v>14</v>
      </c>
    </row>
    <row r="71" spans="1:10" ht="18" x14ac:dyDescent="0.2">
      <c r="B71" t="s">
        <v>15</v>
      </c>
      <c r="C71" s="7" t="str">
        <f t="shared" si="7"/>
        <v>SATURDAY</v>
      </c>
      <c r="D71" s="9">
        <v>45570</v>
      </c>
      <c r="E71" t="s">
        <v>3</v>
      </c>
      <c r="F71">
        <v>60</v>
      </c>
      <c r="G71">
        <v>21</v>
      </c>
      <c r="H71" s="5" t="s">
        <v>14</v>
      </c>
      <c r="I71" s="5" t="s">
        <v>14</v>
      </c>
      <c r="J71" s="5" t="s">
        <v>14</v>
      </c>
    </row>
    <row r="72" spans="1:10" ht="18" x14ac:dyDescent="0.2">
      <c r="B72" t="s">
        <v>15</v>
      </c>
      <c r="C72" s="7" t="str">
        <f t="shared" si="7"/>
        <v>SUNDAY</v>
      </c>
      <c r="D72" s="9">
        <v>45571</v>
      </c>
      <c r="E72" s="3" t="s">
        <v>19</v>
      </c>
      <c r="F72">
        <v>120</v>
      </c>
      <c r="G72">
        <v>15</v>
      </c>
      <c r="H72" s="5" t="s">
        <v>14</v>
      </c>
      <c r="I72" s="5" t="s">
        <v>14</v>
      </c>
      <c r="J72" s="5" t="s">
        <v>14</v>
      </c>
    </row>
    <row r="73" spans="1:10" ht="18" x14ac:dyDescent="0.2">
      <c r="A73" t="s">
        <v>8</v>
      </c>
      <c r="B73" t="s">
        <v>7</v>
      </c>
      <c r="C73" s="11" t="str">
        <f>_xlfn.CONCAT("Week: 9/12 | Phase: 2/2 | Total distance: ", SUM(G75:G81), " km")</f>
        <v>Week: 9/12 | Phase: 2/2 | Total distance: 114 km</v>
      </c>
      <c r="D73" s="11"/>
      <c r="E73" s="11"/>
      <c r="H73" s="5"/>
      <c r="I73" s="5"/>
      <c r="J73" s="5"/>
    </row>
    <row r="74" spans="1:10" x14ac:dyDescent="0.2">
      <c r="A74" t="s">
        <v>9</v>
      </c>
      <c r="B74" t="s">
        <v>5</v>
      </c>
      <c r="C74" s="6" t="s">
        <v>13</v>
      </c>
      <c r="D74" s="8" t="s">
        <v>0</v>
      </c>
      <c r="E74" s="1" t="s">
        <v>12</v>
      </c>
      <c r="F74" s="2" t="s">
        <v>4</v>
      </c>
      <c r="G74" s="2" t="s">
        <v>1</v>
      </c>
      <c r="H74" s="2" t="s">
        <v>11</v>
      </c>
      <c r="I74" s="2" t="s">
        <v>20</v>
      </c>
      <c r="J74" s="2" t="s">
        <v>10</v>
      </c>
    </row>
    <row r="75" spans="1:10" ht="18" x14ac:dyDescent="0.2">
      <c r="B75" t="s">
        <v>15</v>
      </c>
      <c r="C75" s="7" t="str">
        <f>UPPER(TEXT(D75, "dddd"))</f>
        <v>MONDAY</v>
      </c>
      <c r="D75" s="9">
        <v>45572</v>
      </c>
      <c r="E75" t="s">
        <v>1</v>
      </c>
      <c r="F75">
        <v>60</v>
      </c>
      <c r="G75">
        <v>13</v>
      </c>
      <c r="H75" s="5" t="s">
        <v>14</v>
      </c>
      <c r="I75" s="5" t="s">
        <v>14</v>
      </c>
      <c r="J75" s="5" t="s">
        <v>14</v>
      </c>
    </row>
    <row r="76" spans="1:10" ht="18" x14ac:dyDescent="0.2">
      <c r="B76" t="s">
        <v>15</v>
      </c>
      <c r="C76" s="7" t="str">
        <f t="shared" ref="C76:C81" si="8">UPPER(TEXT(D76, "dddd"))</f>
        <v>TUESDAY</v>
      </c>
      <c r="D76" s="9">
        <v>45573</v>
      </c>
      <c r="E76" t="s">
        <v>1</v>
      </c>
      <c r="F76">
        <v>60</v>
      </c>
      <c r="G76">
        <v>13</v>
      </c>
      <c r="H76" s="5" t="s">
        <v>14</v>
      </c>
      <c r="I76" s="5" t="s">
        <v>14</v>
      </c>
      <c r="J76" s="5" t="s">
        <v>14</v>
      </c>
    </row>
    <row r="77" spans="1:10" ht="18" x14ac:dyDescent="0.2">
      <c r="B77" t="s">
        <v>15</v>
      </c>
      <c r="C77" s="7" t="str">
        <f t="shared" si="8"/>
        <v>WEDNESDAY</v>
      </c>
      <c r="D77" s="9">
        <v>45574</v>
      </c>
      <c r="E77" t="s">
        <v>18</v>
      </c>
      <c r="F77">
        <v>120</v>
      </c>
      <c r="G77" s="3">
        <v>26</v>
      </c>
      <c r="H77" s="5" t="s">
        <v>14</v>
      </c>
      <c r="I77" s="5" t="s">
        <v>14</v>
      </c>
      <c r="J77" s="5" t="s">
        <v>14</v>
      </c>
    </row>
    <row r="78" spans="1:10" ht="18" x14ac:dyDescent="0.2">
      <c r="B78" t="s">
        <v>15</v>
      </c>
      <c r="C78" s="7" t="str">
        <f t="shared" si="8"/>
        <v>THURSDAY</v>
      </c>
      <c r="D78" s="9">
        <v>45575</v>
      </c>
      <c r="E78" t="s">
        <v>1</v>
      </c>
      <c r="F78">
        <v>60</v>
      </c>
      <c r="G78">
        <v>13</v>
      </c>
      <c r="H78" s="5" t="s">
        <v>14</v>
      </c>
      <c r="I78" s="5" t="s">
        <v>14</v>
      </c>
      <c r="J78" s="5" t="s">
        <v>14</v>
      </c>
    </row>
    <row r="79" spans="1:10" ht="18" x14ac:dyDescent="0.2">
      <c r="B79" t="s">
        <v>15</v>
      </c>
      <c r="C79" s="7" t="str">
        <f t="shared" si="8"/>
        <v>FRIDAY</v>
      </c>
      <c r="D79" s="9">
        <v>45576</v>
      </c>
      <c r="E79" t="s">
        <v>1</v>
      </c>
      <c r="F79">
        <v>60</v>
      </c>
      <c r="G79">
        <v>13</v>
      </c>
      <c r="H79" s="5" t="s">
        <v>14</v>
      </c>
      <c r="I79" s="5" t="s">
        <v>14</v>
      </c>
      <c r="J79" s="5" t="s">
        <v>14</v>
      </c>
    </row>
    <row r="80" spans="1:10" ht="18" x14ac:dyDescent="0.2">
      <c r="B80" t="s">
        <v>15</v>
      </c>
      <c r="C80" s="7" t="str">
        <f t="shared" si="8"/>
        <v>SATURDAY</v>
      </c>
      <c r="D80" s="9">
        <v>45577</v>
      </c>
      <c r="E80" t="s">
        <v>3</v>
      </c>
      <c r="F80">
        <v>60</v>
      </c>
      <c r="G80">
        <v>21</v>
      </c>
      <c r="H80" s="5" t="s">
        <v>14</v>
      </c>
      <c r="I80" s="5" t="s">
        <v>14</v>
      </c>
      <c r="J80" s="5" t="s">
        <v>14</v>
      </c>
    </row>
    <row r="81" spans="1:10" ht="18" x14ac:dyDescent="0.2">
      <c r="B81" t="s">
        <v>15</v>
      </c>
      <c r="C81" s="7" t="str">
        <f t="shared" si="8"/>
        <v>SUNDAY</v>
      </c>
      <c r="D81" s="9">
        <v>45578</v>
      </c>
      <c r="E81" s="3" t="s">
        <v>19</v>
      </c>
      <c r="F81">
        <v>120</v>
      </c>
      <c r="G81">
        <v>15</v>
      </c>
      <c r="H81" s="5" t="s">
        <v>14</v>
      </c>
      <c r="I81" s="5" t="s">
        <v>14</v>
      </c>
      <c r="J81" s="5" t="s">
        <v>14</v>
      </c>
    </row>
    <row r="82" spans="1:10" ht="18" x14ac:dyDescent="0.2">
      <c r="A82" t="s">
        <v>8</v>
      </c>
      <c r="B82" t="s">
        <v>7</v>
      </c>
      <c r="C82" s="11" t="str">
        <f>_xlfn.CONCAT("Week: 10/12 | Phase: 2/2 | Total distance: ", SUM(G84:G90), " km")</f>
        <v>Week: 10/12 | Phase: 2/2 | Total distance: 114 km</v>
      </c>
      <c r="D82" s="11"/>
      <c r="E82" s="11"/>
      <c r="H82" s="5"/>
      <c r="I82" s="5"/>
      <c r="J82" s="5"/>
    </row>
    <row r="83" spans="1:10" x14ac:dyDescent="0.2">
      <c r="A83" t="s">
        <v>9</v>
      </c>
      <c r="B83" t="s">
        <v>5</v>
      </c>
      <c r="C83" s="6" t="s">
        <v>13</v>
      </c>
      <c r="D83" s="8" t="s">
        <v>0</v>
      </c>
      <c r="E83" s="1" t="s">
        <v>12</v>
      </c>
      <c r="F83" s="2" t="s">
        <v>4</v>
      </c>
      <c r="G83" s="2" t="s">
        <v>1</v>
      </c>
      <c r="H83" s="2" t="s">
        <v>11</v>
      </c>
      <c r="I83" s="2" t="s">
        <v>20</v>
      </c>
      <c r="J83" s="2" t="s">
        <v>10</v>
      </c>
    </row>
    <row r="84" spans="1:10" ht="18" x14ac:dyDescent="0.2">
      <c r="B84" t="s">
        <v>15</v>
      </c>
      <c r="C84" s="7" t="str">
        <f>UPPER(TEXT(D84, "dddd"))</f>
        <v>MONDAY</v>
      </c>
      <c r="D84" s="9">
        <v>45579</v>
      </c>
      <c r="E84" t="s">
        <v>1</v>
      </c>
      <c r="F84">
        <v>60</v>
      </c>
      <c r="G84">
        <v>13</v>
      </c>
      <c r="H84" s="5" t="s">
        <v>14</v>
      </c>
      <c r="I84" s="5" t="s">
        <v>14</v>
      </c>
      <c r="J84" s="5" t="s">
        <v>14</v>
      </c>
    </row>
    <row r="85" spans="1:10" ht="18" x14ac:dyDescent="0.2">
      <c r="B85" t="s">
        <v>15</v>
      </c>
      <c r="C85" s="7" t="str">
        <f t="shared" ref="C85:C90" si="9">UPPER(TEXT(D85, "dddd"))</f>
        <v>TUESDAY</v>
      </c>
      <c r="D85" s="9">
        <v>45580</v>
      </c>
      <c r="E85" t="s">
        <v>1</v>
      </c>
      <c r="F85">
        <v>60</v>
      </c>
      <c r="G85">
        <v>13</v>
      </c>
      <c r="H85" s="5" t="s">
        <v>14</v>
      </c>
      <c r="I85" s="5" t="s">
        <v>14</v>
      </c>
      <c r="J85" s="5" t="s">
        <v>14</v>
      </c>
    </row>
    <row r="86" spans="1:10" ht="18" x14ac:dyDescent="0.2">
      <c r="B86" t="s">
        <v>15</v>
      </c>
      <c r="C86" s="7" t="str">
        <f t="shared" si="9"/>
        <v>WEDNESDAY</v>
      </c>
      <c r="D86" s="9">
        <v>45581</v>
      </c>
      <c r="E86" t="s">
        <v>18</v>
      </c>
      <c r="F86">
        <v>120</v>
      </c>
      <c r="G86">
        <v>26</v>
      </c>
      <c r="H86" s="5" t="s">
        <v>14</v>
      </c>
      <c r="I86" s="5" t="s">
        <v>14</v>
      </c>
      <c r="J86" s="5" t="s">
        <v>14</v>
      </c>
    </row>
    <row r="87" spans="1:10" ht="18" x14ac:dyDescent="0.2">
      <c r="B87" t="s">
        <v>15</v>
      </c>
      <c r="C87" s="7" t="str">
        <f t="shared" si="9"/>
        <v>THURSDAY</v>
      </c>
      <c r="D87" s="9">
        <v>45582</v>
      </c>
      <c r="E87" t="s">
        <v>1</v>
      </c>
      <c r="F87">
        <v>60</v>
      </c>
      <c r="G87">
        <v>13</v>
      </c>
      <c r="H87" s="5" t="s">
        <v>14</v>
      </c>
      <c r="I87" s="5" t="s">
        <v>14</v>
      </c>
      <c r="J87" s="5" t="s">
        <v>14</v>
      </c>
    </row>
    <row r="88" spans="1:10" ht="18" x14ac:dyDescent="0.2">
      <c r="B88" t="s">
        <v>15</v>
      </c>
      <c r="C88" s="7" t="str">
        <f t="shared" si="9"/>
        <v>FRIDAY</v>
      </c>
      <c r="D88" s="9">
        <v>45583</v>
      </c>
      <c r="E88" t="s">
        <v>1</v>
      </c>
      <c r="F88">
        <v>60</v>
      </c>
      <c r="G88">
        <v>13</v>
      </c>
      <c r="H88" s="5" t="s">
        <v>14</v>
      </c>
      <c r="I88" s="5" t="s">
        <v>14</v>
      </c>
      <c r="J88" s="5" t="s">
        <v>14</v>
      </c>
    </row>
    <row r="89" spans="1:10" ht="18" x14ac:dyDescent="0.2">
      <c r="B89" t="s">
        <v>15</v>
      </c>
      <c r="C89" s="7" t="str">
        <f t="shared" si="9"/>
        <v>SATURDAY</v>
      </c>
      <c r="D89" s="9">
        <v>45584</v>
      </c>
      <c r="E89" t="s">
        <v>3</v>
      </c>
      <c r="F89">
        <v>60</v>
      </c>
      <c r="G89">
        <v>21</v>
      </c>
      <c r="H89" s="5" t="s">
        <v>14</v>
      </c>
      <c r="I89" s="5" t="s">
        <v>14</v>
      </c>
      <c r="J89" s="5" t="s">
        <v>14</v>
      </c>
    </row>
    <row r="90" spans="1:10" ht="18" x14ac:dyDescent="0.2">
      <c r="B90" t="s">
        <v>15</v>
      </c>
      <c r="C90" s="7" t="str">
        <f t="shared" si="9"/>
        <v>SUNDAY</v>
      </c>
      <c r="D90" s="9">
        <v>45585</v>
      </c>
      <c r="E90" s="3" t="s">
        <v>19</v>
      </c>
      <c r="F90">
        <v>120</v>
      </c>
      <c r="G90">
        <v>15</v>
      </c>
      <c r="H90" s="5" t="s">
        <v>14</v>
      </c>
      <c r="I90" s="5" t="s">
        <v>14</v>
      </c>
      <c r="J90" s="5" t="s">
        <v>14</v>
      </c>
    </row>
    <row r="91" spans="1:10" ht="18" x14ac:dyDescent="0.2">
      <c r="A91" t="s">
        <v>8</v>
      </c>
      <c r="B91" t="s">
        <v>7</v>
      </c>
      <c r="C91" s="11" t="str">
        <f>_xlfn.CONCAT("Week: 11/12 | Phase: 2/2 | Total distance: ", SUM(G93:G99), " km")</f>
        <v>Week: 11/12 | Phase: 2/2 | Total distance: 114 km</v>
      </c>
      <c r="D91" s="11"/>
      <c r="E91" s="11"/>
      <c r="H91" s="5"/>
      <c r="I91" s="5"/>
      <c r="J91" s="5"/>
    </row>
    <row r="92" spans="1:10" x14ac:dyDescent="0.2">
      <c r="A92" t="s">
        <v>9</v>
      </c>
      <c r="B92" t="s">
        <v>5</v>
      </c>
      <c r="C92" s="6" t="s">
        <v>13</v>
      </c>
      <c r="D92" s="8" t="s">
        <v>0</v>
      </c>
      <c r="E92" s="1" t="s">
        <v>12</v>
      </c>
      <c r="F92" s="2" t="s">
        <v>4</v>
      </c>
      <c r="G92" s="2" t="s">
        <v>1</v>
      </c>
      <c r="H92" s="2" t="s">
        <v>11</v>
      </c>
      <c r="I92" s="2" t="s">
        <v>20</v>
      </c>
      <c r="J92" s="2" t="s">
        <v>10</v>
      </c>
    </row>
    <row r="93" spans="1:10" ht="18" x14ac:dyDescent="0.2">
      <c r="B93" t="s">
        <v>15</v>
      </c>
      <c r="C93" s="7" t="str">
        <f>UPPER(TEXT(D93, "dddd"))</f>
        <v>MONDAY</v>
      </c>
      <c r="D93" s="9">
        <v>45586</v>
      </c>
      <c r="E93" t="s">
        <v>1</v>
      </c>
      <c r="F93">
        <v>60</v>
      </c>
      <c r="G93">
        <v>13</v>
      </c>
      <c r="H93" s="5" t="s">
        <v>14</v>
      </c>
      <c r="I93" s="5" t="s">
        <v>14</v>
      </c>
      <c r="J93" s="5" t="s">
        <v>14</v>
      </c>
    </row>
    <row r="94" spans="1:10" ht="18" x14ac:dyDescent="0.2">
      <c r="B94" t="s">
        <v>15</v>
      </c>
      <c r="C94" s="7" t="str">
        <f t="shared" ref="C94:C99" si="10">UPPER(TEXT(D94, "dddd"))</f>
        <v>TUESDAY</v>
      </c>
      <c r="D94" s="9">
        <v>45587</v>
      </c>
      <c r="E94" t="s">
        <v>1</v>
      </c>
      <c r="F94">
        <v>60</v>
      </c>
      <c r="G94">
        <v>13</v>
      </c>
      <c r="H94" s="5" t="s">
        <v>14</v>
      </c>
      <c r="I94" s="5" t="s">
        <v>14</v>
      </c>
      <c r="J94" s="5" t="s">
        <v>14</v>
      </c>
    </row>
    <row r="95" spans="1:10" ht="18" x14ac:dyDescent="0.2">
      <c r="B95" t="s">
        <v>15</v>
      </c>
      <c r="C95" s="7" t="str">
        <f t="shared" si="10"/>
        <v>WEDNESDAY</v>
      </c>
      <c r="D95" s="9">
        <v>45588</v>
      </c>
      <c r="E95" t="s">
        <v>18</v>
      </c>
      <c r="F95">
        <v>120</v>
      </c>
      <c r="G95">
        <v>26</v>
      </c>
      <c r="H95" s="5" t="s">
        <v>14</v>
      </c>
      <c r="I95" s="5" t="s">
        <v>14</v>
      </c>
      <c r="J95" s="5" t="s">
        <v>14</v>
      </c>
    </row>
    <row r="96" spans="1:10" ht="18" x14ac:dyDescent="0.2">
      <c r="B96" t="s">
        <v>15</v>
      </c>
      <c r="C96" s="7" t="str">
        <f t="shared" si="10"/>
        <v>THURSDAY</v>
      </c>
      <c r="D96" s="9">
        <v>45589</v>
      </c>
      <c r="E96" t="s">
        <v>1</v>
      </c>
      <c r="F96">
        <v>60</v>
      </c>
      <c r="G96">
        <v>13</v>
      </c>
      <c r="H96" s="5" t="s">
        <v>14</v>
      </c>
      <c r="I96" s="5" t="s">
        <v>14</v>
      </c>
      <c r="J96" s="5" t="s">
        <v>14</v>
      </c>
    </row>
    <row r="97" spans="1:10" ht="18" x14ac:dyDescent="0.2">
      <c r="B97" t="s">
        <v>15</v>
      </c>
      <c r="C97" s="7" t="str">
        <f t="shared" si="10"/>
        <v>FRIDAY</v>
      </c>
      <c r="D97" s="9">
        <v>45590</v>
      </c>
      <c r="E97" t="s">
        <v>1</v>
      </c>
      <c r="F97">
        <v>60</v>
      </c>
      <c r="G97">
        <v>13</v>
      </c>
      <c r="H97" s="5" t="s">
        <v>14</v>
      </c>
      <c r="I97" s="5" t="s">
        <v>14</v>
      </c>
      <c r="J97" s="5" t="s">
        <v>14</v>
      </c>
    </row>
    <row r="98" spans="1:10" ht="18" x14ac:dyDescent="0.2">
      <c r="B98" t="s">
        <v>15</v>
      </c>
      <c r="C98" s="7" t="str">
        <f t="shared" si="10"/>
        <v>SATURDAY</v>
      </c>
      <c r="D98" s="9">
        <v>45591</v>
      </c>
      <c r="E98" t="s">
        <v>3</v>
      </c>
      <c r="F98">
        <v>60</v>
      </c>
      <c r="G98">
        <v>21</v>
      </c>
      <c r="H98" s="5" t="s">
        <v>14</v>
      </c>
      <c r="I98" s="5" t="s">
        <v>14</v>
      </c>
      <c r="J98" s="5" t="s">
        <v>14</v>
      </c>
    </row>
    <row r="99" spans="1:10" ht="18" x14ac:dyDescent="0.2">
      <c r="B99" t="s">
        <v>15</v>
      </c>
      <c r="C99" s="7" t="str">
        <f t="shared" si="10"/>
        <v>SUNDAY</v>
      </c>
      <c r="D99" s="9">
        <v>45592</v>
      </c>
      <c r="E99" s="3" t="s">
        <v>19</v>
      </c>
      <c r="F99">
        <v>120</v>
      </c>
      <c r="G99">
        <v>15</v>
      </c>
      <c r="H99" s="5" t="s">
        <v>14</v>
      </c>
      <c r="I99" s="5" t="s">
        <v>14</v>
      </c>
      <c r="J99" s="5" t="s">
        <v>14</v>
      </c>
    </row>
    <row r="100" spans="1:10" ht="18" x14ac:dyDescent="0.2">
      <c r="A100" t="s">
        <v>8</v>
      </c>
      <c r="B100" t="s">
        <v>7</v>
      </c>
      <c r="C100" s="11" t="str">
        <f>_xlfn.CONCAT("Week: 12/12 | Phase: 2/2 | Total distance: ", SUM(G102:G108), " km")</f>
        <v>Week: 12/12 | Phase: 2/2 | Total distance: 114 km</v>
      </c>
      <c r="D100" s="11"/>
      <c r="E100" s="11"/>
      <c r="H100" s="5"/>
      <c r="I100" s="5"/>
      <c r="J100" s="5"/>
    </row>
    <row r="101" spans="1:10" x14ac:dyDescent="0.2">
      <c r="A101" t="s">
        <v>9</v>
      </c>
      <c r="B101" t="s">
        <v>5</v>
      </c>
      <c r="C101" s="6" t="s">
        <v>13</v>
      </c>
      <c r="D101" s="8" t="s">
        <v>0</v>
      </c>
      <c r="E101" s="1" t="s">
        <v>12</v>
      </c>
      <c r="F101" s="2" t="s">
        <v>4</v>
      </c>
      <c r="G101" s="2" t="s">
        <v>1</v>
      </c>
      <c r="H101" s="2" t="s">
        <v>11</v>
      </c>
      <c r="I101" s="2" t="s">
        <v>20</v>
      </c>
      <c r="J101" s="2" t="s">
        <v>10</v>
      </c>
    </row>
    <row r="102" spans="1:10" ht="18" x14ac:dyDescent="0.2">
      <c r="B102" t="s">
        <v>15</v>
      </c>
      <c r="C102" s="7" t="str">
        <f>UPPER(TEXT(D102, "dddd"))</f>
        <v>MONDAY</v>
      </c>
      <c r="D102" s="9">
        <v>45593</v>
      </c>
      <c r="E102" t="s">
        <v>1</v>
      </c>
      <c r="F102">
        <v>60</v>
      </c>
      <c r="G102">
        <v>13</v>
      </c>
      <c r="H102" s="5" t="s">
        <v>14</v>
      </c>
      <c r="I102" s="5" t="s">
        <v>14</v>
      </c>
      <c r="J102" s="5" t="s">
        <v>14</v>
      </c>
    </row>
    <row r="103" spans="1:10" ht="18" x14ac:dyDescent="0.2">
      <c r="B103" t="s">
        <v>15</v>
      </c>
      <c r="C103" s="7" t="str">
        <f t="shared" ref="C103:C108" si="11">UPPER(TEXT(D103, "dddd"))</f>
        <v>TUESDAY</v>
      </c>
      <c r="D103" s="9">
        <v>45594</v>
      </c>
      <c r="E103" t="s">
        <v>1</v>
      </c>
      <c r="F103">
        <v>60</v>
      </c>
      <c r="G103">
        <v>13</v>
      </c>
      <c r="H103" s="5" t="s">
        <v>14</v>
      </c>
      <c r="I103" s="5" t="s">
        <v>14</v>
      </c>
      <c r="J103" s="5" t="s">
        <v>14</v>
      </c>
    </row>
    <row r="104" spans="1:10" ht="18" x14ac:dyDescent="0.2">
      <c r="B104" t="s">
        <v>15</v>
      </c>
      <c r="C104" s="7" t="str">
        <f t="shared" si="11"/>
        <v>WEDNESDAY</v>
      </c>
      <c r="D104" s="9">
        <v>45595</v>
      </c>
      <c r="E104" t="s">
        <v>18</v>
      </c>
      <c r="F104">
        <v>120</v>
      </c>
      <c r="G104">
        <v>26</v>
      </c>
      <c r="H104" s="5" t="s">
        <v>14</v>
      </c>
      <c r="I104" s="5" t="s">
        <v>14</v>
      </c>
      <c r="J104" s="5" t="s">
        <v>14</v>
      </c>
    </row>
    <row r="105" spans="1:10" ht="18" x14ac:dyDescent="0.2">
      <c r="B105" t="s">
        <v>15</v>
      </c>
      <c r="C105" s="7" t="str">
        <f t="shared" si="11"/>
        <v>THURSDAY</v>
      </c>
      <c r="D105" s="9">
        <v>45596</v>
      </c>
      <c r="E105" t="s">
        <v>1</v>
      </c>
      <c r="F105">
        <v>60</v>
      </c>
      <c r="G105">
        <v>13</v>
      </c>
      <c r="H105" s="5" t="s">
        <v>14</v>
      </c>
      <c r="I105" s="5" t="s">
        <v>14</v>
      </c>
      <c r="J105" s="5" t="s">
        <v>14</v>
      </c>
    </row>
    <row r="106" spans="1:10" ht="18" x14ac:dyDescent="0.2">
      <c r="B106" t="s">
        <v>15</v>
      </c>
      <c r="C106" s="7" t="str">
        <f t="shared" si="11"/>
        <v>FRIDAY</v>
      </c>
      <c r="D106" s="9">
        <v>45597</v>
      </c>
      <c r="E106" t="s">
        <v>1</v>
      </c>
      <c r="F106">
        <v>60</v>
      </c>
      <c r="G106">
        <v>13</v>
      </c>
      <c r="H106" s="5" t="s">
        <v>14</v>
      </c>
      <c r="I106" s="5" t="s">
        <v>14</v>
      </c>
      <c r="J106" s="5" t="s">
        <v>14</v>
      </c>
    </row>
    <row r="107" spans="1:10" ht="18" x14ac:dyDescent="0.2">
      <c r="B107" t="s">
        <v>15</v>
      </c>
      <c r="C107" s="7" t="str">
        <f t="shared" si="11"/>
        <v>SATURDAY</v>
      </c>
      <c r="D107" s="9">
        <v>45598</v>
      </c>
      <c r="E107" t="s">
        <v>3</v>
      </c>
      <c r="F107">
        <v>60</v>
      </c>
      <c r="G107">
        <v>21</v>
      </c>
      <c r="H107" s="5" t="s">
        <v>14</v>
      </c>
      <c r="I107" s="5" t="s">
        <v>14</v>
      </c>
      <c r="J107" s="5" t="s">
        <v>14</v>
      </c>
    </row>
    <row r="108" spans="1:10" ht="18" x14ac:dyDescent="0.2">
      <c r="B108" t="s">
        <v>15</v>
      </c>
      <c r="C108" s="7" t="str">
        <f t="shared" si="11"/>
        <v>SUNDAY</v>
      </c>
      <c r="D108" s="9">
        <v>45599</v>
      </c>
      <c r="E108" s="3" t="s">
        <v>19</v>
      </c>
      <c r="F108">
        <v>120</v>
      </c>
      <c r="G108">
        <v>15</v>
      </c>
      <c r="H108" s="5" t="s">
        <v>14</v>
      </c>
      <c r="I108" s="5" t="s">
        <v>14</v>
      </c>
      <c r="J108" s="5" t="s">
        <v>14</v>
      </c>
    </row>
    <row r="109" spans="1:10" x14ac:dyDescent="0.2">
      <c r="A109" t="s">
        <v>6</v>
      </c>
    </row>
    <row r="113" spans="1:1" x14ac:dyDescent="0.2">
      <c r="A113" t="s">
        <v>34</v>
      </c>
    </row>
    <row r="117" spans="1:1" x14ac:dyDescent="0.2">
      <c r="A117" s="3"/>
    </row>
    <row r="118" spans="1:1" x14ac:dyDescent="0.2">
      <c r="A118" s="3"/>
    </row>
    <row r="120" spans="1:1" x14ac:dyDescent="0.2">
      <c r="A120" t="s">
        <v>35</v>
      </c>
    </row>
    <row r="121" spans="1:1" x14ac:dyDescent="0.2">
      <c r="A121" t="s">
        <v>15</v>
      </c>
    </row>
    <row r="122" spans="1:1" x14ac:dyDescent="0.2">
      <c r="A122" t="s">
        <v>16</v>
      </c>
    </row>
    <row r="123" spans="1:1" x14ac:dyDescent="0.2">
      <c r="A123" t="s">
        <v>28</v>
      </c>
    </row>
    <row r="124" spans="1:1" x14ac:dyDescent="0.2">
      <c r="A124" t="s">
        <v>17</v>
      </c>
    </row>
    <row r="125" spans="1:1" x14ac:dyDescent="0.2">
      <c r="A125" t="s">
        <v>7</v>
      </c>
    </row>
    <row r="126" spans="1:1" x14ac:dyDescent="0.2">
      <c r="A126" t="s">
        <v>5</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2024-08-21T10:02:27Z</dcterms:modified>
</cp:coreProperties>
</file>